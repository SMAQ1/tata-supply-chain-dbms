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eduin59337-my.sharepoint.com/personal/mohammedamaan_shaikh_vit_edu_in/Documents/"/>
    </mc:Choice>
  </mc:AlternateContent>
  <xr:revisionPtr revIDLastSave="0" documentId="14_{BEBBE45A-1C58-4694-AC0D-F6E16F9DBF3F}" xr6:coauthVersionLast="47" xr6:coauthVersionMax="47" xr10:uidLastSave="{00000000-0000-0000-0000-000000000000}"/>
  <bookViews>
    <workbookView xWindow="-108" yWindow="-108" windowWidth="23256" windowHeight="12456" xr2:uid="{57D410DC-2D8B-42DE-A54B-7055B26BA9E8}"/>
  </bookViews>
  <sheets>
    <sheet name="Parts " sheetId="1" r:id="rId1"/>
    <sheet name="Vendors " sheetId="2" r:id="rId2"/>
    <sheet name="Transporters " sheetId="6" r:id="rId3"/>
    <sheet name="Purchase Orders " sheetId="7" r:id="rId4"/>
    <sheet name="Good Recepients" sheetId="4" r:id="rId5"/>
    <sheet name="Material Issuses 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2" i="4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2" i="7"/>
  <c r="D3" i="7"/>
  <c r="F3" i="4" s="1"/>
  <c r="G3" i="4" s="1"/>
  <c r="D4" i="7"/>
  <c r="F4" i="4" s="1"/>
  <c r="G4" i="4" s="1"/>
  <c r="D5" i="7"/>
  <c r="F5" i="4" s="1"/>
  <c r="G5" i="4" s="1"/>
  <c r="D6" i="7"/>
  <c r="F6" i="4" s="1"/>
  <c r="G6" i="4" s="1"/>
  <c r="D7" i="7"/>
  <c r="F7" i="4" s="1"/>
  <c r="G7" i="4" s="1"/>
  <c r="D8" i="7"/>
  <c r="F8" i="4" s="1"/>
  <c r="G8" i="4" s="1"/>
  <c r="D9" i="7"/>
  <c r="F9" i="4" s="1"/>
  <c r="G9" i="4" s="1"/>
  <c r="D10" i="7"/>
  <c r="F10" i="4" s="1"/>
  <c r="G10" i="4" s="1"/>
  <c r="D11" i="7"/>
  <c r="F11" i="4" s="1"/>
  <c r="G11" i="4" s="1"/>
  <c r="D12" i="7"/>
  <c r="F12" i="4" s="1"/>
  <c r="G12" i="4" s="1"/>
  <c r="D13" i="7"/>
  <c r="F13" i="4" s="1"/>
  <c r="G13" i="4" s="1"/>
  <c r="D14" i="7"/>
  <c r="F14" i="4" s="1"/>
  <c r="G14" i="4" s="1"/>
  <c r="D15" i="7"/>
  <c r="F15" i="4" s="1"/>
  <c r="G15" i="4" s="1"/>
  <c r="D16" i="7"/>
  <c r="F16" i="4" s="1"/>
  <c r="G16" i="4" s="1"/>
  <c r="D17" i="7"/>
  <c r="F17" i="4" s="1"/>
  <c r="G17" i="4" s="1"/>
  <c r="D18" i="7"/>
  <c r="F18" i="4" s="1"/>
  <c r="G18" i="4" s="1"/>
  <c r="D19" i="7"/>
  <c r="F19" i="4" s="1"/>
  <c r="G19" i="4" s="1"/>
  <c r="D20" i="7"/>
  <c r="F20" i="4" s="1"/>
  <c r="G20" i="4" s="1"/>
  <c r="D21" i="7"/>
  <c r="F21" i="4" s="1"/>
  <c r="G21" i="4" s="1"/>
  <c r="D22" i="7"/>
  <c r="F22" i="4" s="1"/>
  <c r="G22" i="4" s="1"/>
  <c r="D23" i="7"/>
  <c r="F23" i="4" s="1"/>
  <c r="G23" i="4" s="1"/>
  <c r="D24" i="7"/>
  <c r="F24" i="4" s="1"/>
  <c r="G24" i="4" s="1"/>
  <c r="D25" i="7"/>
  <c r="F25" i="4" s="1"/>
  <c r="G25" i="4" s="1"/>
  <c r="D26" i="7"/>
  <c r="F26" i="4" s="1"/>
  <c r="G26" i="4" s="1"/>
  <c r="D27" i="7"/>
  <c r="F27" i="4" s="1"/>
  <c r="G27" i="4" s="1"/>
  <c r="D28" i="7"/>
  <c r="F28" i="4" s="1"/>
  <c r="G28" i="4" s="1"/>
  <c r="D29" i="7"/>
  <c r="F29" i="4" s="1"/>
  <c r="G29" i="4" s="1"/>
  <c r="H29" i="4" s="1"/>
  <c r="I29" i="4" s="1"/>
  <c r="D30" i="7"/>
  <c r="F30" i="4" s="1"/>
  <c r="D31" i="7"/>
  <c r="F31" i="4" s="1"/>
  <c r="G31" i="4" s="1"/>
  <c r="H31" i="4" s="1"/>
  <c r="I31" i="4" s="1"/>
  <c r="D32" i="7"/>
  <c r="F32" i="4" s="1"/>
  <c r="G32" i="4" s="1"/>
  <c r="D33" i="7"/>
  <c r="F33" i="4" s="1"/>
  <c r="G33" i="4" s="1"/>
  <c r="D34" i="7"/>
  <c r="F34" i="4" s="1"/>
  <c r="G34" i="4" s="1"/>
  <c r="D35" i="7"/>
  <c r="F35" i="4" s="1"/>
  <c r="G35" i="4" s="1"/>
  <c r="D36" i="7"/>
  <c r="F36" i="4" s="1"/>
  <c r="G36" i="4" s="1"/>
  <c r="D37" i="7"/>
  <c r="F37" i="4" s="1"/>
  <c r="G37" i="4" s="1"/>
  <c r="D38" i="7"/>
  <c r="F38" i="4" s="1"/>
  <c r="G38" i="4" s="1"/>
  <c r="D39" i="7"/>
  <c r="F39" i="4" s="1"/>
  <c r="G39" i="4" s="1"/>
  <c r="D40" i="7"/>
  <c r="F40" i="4" s="1"/>
  <c r="G40" i="4" s="1"/>
  <c r="D41" i="7"/>
  <c r="F41" i="4" s="1"/>
  <c r="G41" i="4" s="1"/>
  <c r="D42" i="7"/>
  <c r="F42" i="4" s="1"/>
  <c r="G42" i="4" s="1"/>
  <c r="D43" i="7"/>
  <c r="F43" i="4" s="1"/>
  <c r="G43" i="4" s="1"/>
  <c r="D44" i="7"/>
  <c r="F44" i="4" s="1"/>
  <c r="G44" i="4" s="1"/>
  <c r="D45" i="7"/>
  <c r="F45" i="4" s="1"/>
  <c r="G45" i="4" s="1"/>
  <c r="D46" i="7"/>
  <c r="F46" i="4" s="1"/>
  <c r="G46" i="4" s="1"/>
  <c r="D47" i="7"/>
  <c r="F47" i="4" s="1"/>
  <c r="G47" i="4" s="1"/>
  <c r="H47" i="4" s="1"/>
  <c r="I47" i="4" s="1"/>
  <c r="D48" i="7"/>
  <c r="F48" i="4" s="1"/>
  <c r="G48" i="4" s="1"/>
  <c r="D49" i="7"/>
  <c r="F49" i="4" s="1"/>
  <c r="G49" i="4" s="1"/>
  <c r="D50" i="7"/>
  <c r="F50" i="4" s="1"/>
  <c r="G50" i="4" s="1"/>
  <c r="D51" i="7"/>
  <c r="F51" i="4" s="1"/>
  <c r="G51" i="4" s="1"/>
  <c r="D52" i="7"/>
  <c r="F52" i="4" s="1"/>
  <c r="G52" i="4" s="1"/>
  <c r="D53" i="7"/>
  <c r="F53" i="4" s="1"/>
  <c r="G53" i="4" s="1"/>
  <c r="D54" i="7"/>
  <c r="F54" i="4" s="1"/>
  <c r="G54" i="4" s="1"/>
  <c r="D55" i="7"/>
  <c r="F55" i="4" s="1"/>
  <c r="G55" i="4" s="1"/>
  <c r="D56" i="7"/>
  <c r="F56" i="4" s="1"/>
  <c r="G56" i="4" s="1"/>
  <c r="D57" i="7"/>
  <c r="F57" i="4" s="1"/>
  <c r="G57" i="4" s="1"/>
  <c r="D58" i="7"/>
  <c r="F58" i="4" s="1"/>
  <c r="G58" i="4" s="1"/>
  <c r="D59" i="7"/>
  <c r="F59" i="4" s="1"/>
  <c r="G59" i="4" s="1"/>
  <c r="D60" i="7"/>
  <c r="F60" i="4" s="1"/>
  <c r="G60" i="4" s="1"/>
  <c r="D61" i="7"/>
  <c r="F61" i="4" s="1"/>
  <c r="G61" i="4" s="1"/>
  <c r="D62" i="7"/>
  <c r="F62" i="4" s="1"/>
  <c r="G62" i="4" s="1"/>
  <c r="D63" i="7"/>
  <c r="F63" i="4" s="1"/>
  <c r="G63" i="4" s="1"/>
  <c r="D64" i="7"/>
  <c r="F64" i="4" s="1"/>
  <c r="G64" i="4" s="1"/>
  <c r="D65" i="7"/>
  <c r="F65" i="4" s="1"/>
  <c r="G65" i="4" s="1"/>
  <c r="D66" i="7"/>
  <c r="F66" i="4" s="1"/>
  <c r="G66" i="4" s="1"/>
  <c r="D67" i="7"/>
  <c r="F67" i="4" s="1"/>
  <c r="G67" i="4" s="1"/>
  <c r="D68" i="7"/>
  <c r="F68" i="4" s="1"/>
  <c r="G68" i="4" s="1"/>
  <c r="D69" i="7"/>
  <c r="F69" i="4" s="1"/>
  <c r="G69" i="4" s="1"/>
  <c r="D70" i="7"/>
  <c r="F70" i="4" s="1"/>
  <c r="G70" i="4" s="1"/>
  <c r="D71" i="7"/>
  <c r="F71" i="4" s="1"/>
  <c r="G71" i="4" s="1"/>
  <c r="D72" i="7"/>
  <c r="F72" i="4" s="1"/>
  <c r="G72" i="4" s="1"/>
  <c r="D73" i="7"/>
  <c r="F73" i="4" s="1"/>
  <c r="G73" i="4" s="1"/>
  <c r="D74" i="7"/>
  <c r="F74" i="4" s="1"/>
  <c r="G74" i="4" s="1"/>
  <c r="D75" i="7"/>
  <c r="F75" i="4" s="1"/>
  <c r="G75" i="4" s="1"/>
  <c r="D76" i="7"/>
  <c r="F76" i="4" s="1"/>
  <c r="G76" i="4" s="1"/>
  <c r="D77" i="7"/>
  <c r="F77" i="4" s="1"/>
  <c r="G77" i="4" s="1"/>
  <c r="H77" i="4" s="1"/>
  <c r="I77" i="4" s="1"/>
  <c r="D78" i="7"/>
  <c r="F78" i="4" s="1"/>
  <c r="D79" i="7"/>
  <c r="F79" i="4" s="1"/>
  <c r="G79" i="4" s="1"/>
  <c r="H79" i="4" s="1"/>
  <c r="I79" i="4" s="1"/>
  <c r="D80" i="7"/>
  <c r="F80" i="4" s="1"/>
  <c r="G80" i="4" s="1"/>
  <c r="D81" i="7"/>
  <c r="F81" i="4" s="1"/>
  <c r="G81" i="4" s="1"/>
  <c r="D82" i="7"/>
  <c r="F82" i="4" s="1"/>
  <c r="G82" i="4" s="1"/>
  <c r="D83" i="7"/>
  <c r="F83" i="4" s="1"/>
  <c r="G83" i="4" s="1"/>
  <c r="D84" i="7"/>
  <c r="F84" i="4" s="1"/>
  <c r="G84" i="4" s="1"/>
  <c r="D85" i="7"/>
  <c r="F85" i="4" s="1"/>
  <c r="G85" i="4" s="1"/>
  <c r="D86" i="7"/>
  <c r="F86" i="4" s="1"/>
  <c r="G86" i="4" s="1"/>
  <c r="D87" i="7"/>
  <c r="F87" i="4" s="1"/>
  <c r="G87" i="4" s="1"/>
  <c r="D88" i="7"/>
  <c r="F88" i="4" s="1"/>
  <c r="G88" i="4" s="1"/>
  <c r="D89" i="7"/>
  <c r="F89" i="4" s="1"/>
  <c r="G89" i="4" s="1"/>
  <c r="D90" i="7"/>
  <c r="F90" i="4" s="1"/>
  <c r="G90" i="4" s="1"/>
  <c r="D91" i="7"/>
  <c r="F91" i="4" s="1"/>
  <c r="G91" i="4" s="1"/>
  <c r="D92" i="7"/>
  <c r="F92" i="4" s="1"/>
  <c r="D93" i="7"/>
  <c r="F93" i="4" s="1"/>
  <c r="G93" i="4" s="1"/>
  <c r="H93" i="4" s="1"/>
  <c r="I93" i="4" s="1"/>
  <c r="D94" i="7"/>
  <c r="F94" i="4" s="1"/>
  <c r="G94" i="4" s="1"/>
  <c r="D95" i="7"/>
  <c r="F95" i="4" s="1"/>
  <c r="G95" i="4" s="1"/>
  <c r="D96" i="7"/>
  <c r="F96" i="4" s="1"/>
  <c r="G96" i="4" s="1"/>
  <c r="D97" i="7"/>
  <c r="F97" i="4" s="1"/>
  <c r="G97" i="4" s="1"/>
  <c r="D98" i="7"/>
  <c r="F98" i="4" s="1"/>
  <c r="G98" i="4" s="1"/>
  <c r="D99" i="7"/>
  <c r="F99" i="4" s="1"/>
  <c r="G99" i="4" s="1"/>
  <c r="D100" i="7"/>
  <c r="F100" i="4" s="1"/>
  <c r="G100" i="4" s="1"/>
  <c r="D101" i="7"/>
  <c r="F101" i="4" s="1"/>
  <c r="G101" i="4" s="1"/>
  <c r="D102" i="7"/>
  <c r="F102" i="4" s="1"/>
  <c r="G102" i="4" s="1"/>
  <c r="D103" i="7"/>
  <c r="F103" i="4" s="1"/>
  <c r="G103" i="4" s="1"/>
  <c r="D104" i="7"/>
  <c r="F104" i="4" s="1"/>
  <c r="G104" i="4" s="1"/>
  <c r="D105" i="7"/>
  <c r="F105" i="4" s="1"/>
  <c r="G105" i="4" s="1"/>
  <c r="D106" i="7"/>
  <c r="F106" i="4" s="1"/>
  <c r="G106" i="4" s="1"/>
  <c r="D107" i="7"/>
  <c r="F107" i="4" s="1"/>
  <c r="G107" i="4" s="1"/>
  <c r="D108" i="7"/>
  <c r="F108" i="4" s="1"/>
  <c r="G108" i="4" s="1"/>
  <c r="D109" i="7"/>
  <c r="F109" i="4" s="1"/>
  <c r="G109" i="4" s="1"/>
  <c r="D110" i="7"/>
  <c r="F110" i="4" s="1"/>
  <c r="G110" i="4" s="1"/>
  <c r="D111" i="7"/>
  <c r="F111" i="4" s="1"/>
  <c r="G111" i="4" s="1"/>
  <c r="D112" i="7"/>
  <c r="F112" i="4" s="1"/>
  <c r="G112" i="4" s="1"/>
  <c r="D113" i="7"/>
  <c r="F113" i="4" s="1"/>
  <c r="G113" i="4" s="1"/>
  <c r="D114" i="7"/>
  <c r="F114" i="4" s="1"/>
  <c r="G114" i="4" s="1"/>
  <c r="D115" i="7"/>
  <c r="F115" i="4" s="1"/>
  <c r="G115" i="4" s="1"/>
  <c r="D116" i="7"/>
  <c r="F116" i="4" s="1"/>
  <c r="G116" i="4" s="1"/>
  <c r="D117" i="7"/>
  <c r="F117" i="4" s="1"/>
  <c r="G117" i="4" s="1"/>
  <c r="D118" i="7"/>
  <c r="F118" i="4" s="1"/>
  <c r="G118" i="4" s="1"/>
  <c r="D119" i="7"/>
  <c r="F119" i="4" s="1"/>
  <c r="G119" i="4" s="1"/>
  <c r="D120" i="7"/>
  <c r="F120" i="4" s="1"/>
  <c r="G120" i="4" s="1"/>
  <c r="D121" i="7"/>
  <c r="F121" i="4" s="1"/>
  <c r="G121" i="4" s="1"/>
  <c r="D122" i="7"/>
  <c r="F122" i="4" s="1"/>
  <c r="G122" i="4" s="1"/>
  <c r="D123" i="7"/>
  <c r="F123" i="4" s="1"/>
  <c r="G123" i="4" s="1"/>
  <c r="D124" i="7"/>
  <c r="F124" i="4" s="1"/>
  <c r="G124" i="4" s="1"/>
  <c r="D125" i="7"/>
  <c r="F125" i="4" s="1"/>
  <c r="G125" i="4" s="1"/>
  <c r="D126" i="7"/>
  <c r="F126" i="4" s="1"/>
  <c r="G126" i="4" s="1"/>
  <c r="D127" i="7"/>
  <c r="F127" i="4" s="1"/>
  <c r="D128" i="7"/>
  <c r="F128" i="4" s="1"/>
  <c r="G128" i="4" s="1"/>
  <c r="D129" i="7"/>
  <c r="F129" i="4" s="1"/>
  <c r="G129" i="4" s="1"/>
  <c r="D130" i="7"/>
  <c r="F130" i="4" s="1"/>
  <c r="G130" i="4" s="1"/>
  <c r="D131" i="7"/>
  <c r="F131" i="4" s="1"/>
  <c r="G131" i="4" s="1"/>
  <c r="D132" i="7"/>
  <c r="F132" i="4" s="1"/>
  <c r="G132" i="4" s="1"/>
  <c r="D133" i="7"/>
  <c r="F133" i="4" s="1"/>
  <c r="G133" i="4" s="1"/>
  <c r="D134" i="7"/>
  <c r="F134" i="4" s="1"/>
  <c r="G134" i="4" s="1"/>
  <c r="D135" i="7"/>
  <c r="F135" i="4" s="1"/>
  <c r="G135" i="4" s="1"/>
  <c r="D136" i="7"/>
  <c r="F136" i="4" s="1"/>
  <c r="G136" i="4" s="1"/>
  <c r="D137" i="7"/>
  <c r="F137" i="4" s="1"/>
  <c r="G137" i="4" s="1"/>
  <c r="D138" i="7"/>
  <c r="F138" i="4" s="1"/>
  <c r="G138" i="4" s="1"/>
  <c r="D139" i="7"/>
  <c r="F139" i="4" s="1"/>
  <c r="G139" i="4" s="1"/>
  <c r="D140" i="7"/>
  <c r="F140" i="4" s="1"/>
  <c r="G140" i="4" s="1"/>
  <c r="D141" i="7"/>
  <c r="F141" i="4" s="1"/>
  <c r="G141" i="4" s="1"/>
  <c r="D142" i="7"/>
  <c r="F142" i="4" s="1"/>
  <c r="G142" i="4" s="1"/>
  <c r="D143" i="7"/>
  <c r="F143" i="4" s="1"/>
  <c r="G143" i="4" s="1"/>
  <c r="D144" i="7"/>
  <c r="F144" i="4" s="1"/>
  <c r="G144" i="4" s="1"/>
  <c r="D145" i="7"/>
  <c r="F145" i="4" s="1"/>
  <c r="G145" i="4" s="1"/>
  <c r="D146" i="7"/>
  <c r="F146" i="4" s="1"/>
  <c r="G146" i="4" s="1"/>
  <c r="D147" i="7"/>
  <c r="F147" i="4" s="1"/>
  <c r="G147" i="4" s="1"/>
  <c r="D148" i="7"/>
  <c r="F148" i="4" s="1"/>
  <c r="G148" i="4" s="1"/>
  <c r="D149" i="7"/>
  <c r="F149" i="4" s="1"/>
  <c r="G149" i="4" s="1"/>
  <c r="D150" i="7"/>
  <c r="F150" i="4" s="1"/>
  <c r="G150" i="4" s="1"/>
  <c r="D2" i="7"/>
  <c r="F2" i="4" s="1"/>
  <c r="G2" i="4" s="1"/>
  <c r="C3" i="7"/>
  <c r="E3" i="4" s="1"/>
  <c r="C4" i="7"/>
  <c r="E4" i="4" s="1"/>
  <c r="C5" i="7"/>
  <c r="E5" i="4" s="1"/>
  <c r="C6" i="7"/>
  <c r="E6" i="4" s="1"/>
  <c r="C7" i="7"/>
  <c r="E7" i="4" s="1"/>
  <c r="C8" i="7"/>
  <c r="E8" i="4" s="1"/>
  <c r="C9" i="7"/>
  <c r="E9" i="4" s="1"/>
  <c r="C10" i="7"/>
  <c r="E10" i="4" s="1"/>
  <c r="C11" i="7"/>
  <c r="E11" i="4" s="1"/>
  <c r="C12" i="7"/>
  <c r="E12" i="4" s="1"/>
  <c r="C13" i="7"/>
  <c r="E13" i="4" s="1"/>
  <c r="C14" i="7"/>
  <c r="E14" i="4" s="1"/>
  <c r="C15" i="7"/>
  <c r="E15" i="4" s="1"/>
  <c r="C16" i="7"/>
  <c r="E16" i="4" s="1"/>
  <c r="C17" i="7"/>
  <c r="E17" i="4" s="1"/>
  <c r="C18" i="7"/>
  <c r="E18" i="4" s="1"/>
  <c r="C19" i="7"/>
  <c r="E19" i="4" s="1"/>
  <c r="C20" i="7"/>
  <c r="E20" i="4" s="1"/>
  <c r="C21" i="7"/>
  <c r="E21" i="4" s="1"/>
  <c r="C22" i="7"/>
  <c r="E22" i="4" s="1"/>
  <c r="C23" i="7"/>
  <c r="E23" i="4" s="1"/>
  <c r="C24" i="7"/>
  <c r="E24" i="4" s="1"/>
  <c r="C25" i="7"/>
  <c r="E25" i="4" s="1"/>
  <c r="C26" i="7"/>
  <c r="E26" i="4" s="1"/>
  <c r="C27" i="7"/>
  <c r="E27" i="4" s="1"/>
  <c r="C28" i="7"/>
  <c r="E28" i="4" s="1"/>
  <c r="C29" i="7"/>
  <c r="E29" i="4" s="1"/>
  <c r="C30" i="7"/>
  <c r="E30" i="4" s="1"/>
  <c r="C31" i="7"/>
  <c r="E31" i="4" s="1"/>
  <c r="C32" i="7"/>
  <c r="E32" i="4" s="1"/>
  <c r="C33" i="7"/>
  <c r="E33" i="4" s="1"/>
  <c r="C34" i="7"/>
  <c r="E34" i="4" s="1"/>
  <c r="C35" i="7"/>
  <c r="E35" i="4" s="1"/>
  <c r="C36" i="7"/>
  <c r="E36" i="4" s="1"/>
  <c r="C37" i="7"/>
  <c r="E37" i="4" s="1"/>
  <c r="C38" i="7"/>
  <c r="E38" i="4" s="1"/>
  <c r="C39" i="7"/>
  <c r="E39" i="4" s="1"/>
  <c r="C40" i="7"/>
  <c r="E40" i="4" s="1"/>
  <c r="C41" i="7"/>
  <c r="E41" i="4" s="1"/>
  <c r="C42" i="7"/>
  <c r="E42" i="4" s="1"/>
  <c r="C43" i="7"/>
  <c r="E43" i="4" s="1"/>
  <c r="C44" i="7"/>
  <c r="E44" i="4" s="1"/>
  <c r="C45" i="7"/>
  <c r="E45" i="4" s="1"/>
  <c r="C46" i="7"/>
  <c r="E46" i="4" s="1"/>
  <c r="C47" i="7"/>
  <c r="E47" i="4" s="1"/>
  <c r="C48" i="7"/>
  <c r="E48" i="4" s="1"/>
  <c r="C49" i="7"/>
  <c r="E49" i="4" s="1"/>
  <c r="C50" i="7"/>
  <c r="E50" i="4" s="1"/>
  <c r="C51" i="7"/>
  <c r="E51" i="4" s="1"/>
  <c r="C52" i="7"/>
  <c r="E52" i="4" s="1"/>
  <c r="C53" i="7"/>
  <c r="E53" i="4" s="1"/>
  <c r="C54" i="7"/>
  <c r="E54" i="4" s="1"/>
  <c r="C55" i="7"/>
  <c r="E55" i="4" s="1"/>
  <c r="C56" i="7"/>
  <c r="E56" i="4" s="1"/>
  <c r="C57" i="7"/>
  <c r="E57" i="4" s="1"/>
  <c r="C58" i="7"/>
  <c r="E58" i="4" s="1"/>
  <c r="C59" i="7"/>
  <c r="E59" i="4" s="1"/>
  <c r="C60" i="7"/>
  <c r="E60" i="4" s="1"/>
  <c r="C61" i="7"/>
  <c r="E61" i="4" s="1"/>
  <c r="C62" i="7"/>
  <c r="E62" i="4" s="1"/>
  <c r="C63" i="7"/>
  <c r="E63" i="4" s="1"/>
  <c r="C64" i="7"/>
  <c r="E64" i="4" s="1"/>
  <c r="C65" i="7"/>
  <c r="E65" i="4" s="1"/>
  <c r="C66" i="7"/>
  <c r="E66" i="4" s="1"/>
  <c r="C67" i="7"/>
  <c r="E67" i="4" s="1"/>
  <c r="C68" i="7"/>
  <c r="E68" i="4" s="1"/>
  <c r="C69" i="7"/>
  <c r="E69" i="4" s="1"/>
  <c r="C70" i="7"/>
  <c r="E70" i="4" s="1"/>
  <c r="C71" i="7"/>
  <c r="E71" i="4" s="1"/>
  <c r="C72" i="7"/>
  <c r="E72" i="4" s="1"/>
  <c r="C73" i="7"/>
  <c r="E73" i="4" s="1"/>
  <c r="C74" i="7"/>
  <c r="E74" i="4" s="1"/>
  <c r="C75" i="7"/>
  <c r="E75" i="4" s="1"/>
  <c r="C76" i="7"/>
  <c r="E76" i="4" s="1"/>
  <c r="C77" i="7"/>
  <c r="E77" i="4" s="1"/>
  <c r="C78" i="7"/>
  <c r="E78" i="4" s="1"/>
  <c r="C79" i="7"/>
  <c r="E79" i="4" s="1"/>
  <c r="C80" i="7"/>
  <c r="E80" i="4" s="1"/>
  <c r="C81" i="7"/>
  <c r="E81" i="4" s="1"/>
  <c r="C82" i="7"/>
  <c r="E82" i="4" s="1"/>
  <c r="C83" i="7"/>
  <c r="E83" i="4" s="1"/>
  <c r="C84" i="7"/>
  <c r="E84" i="4" s="1"/>
  <c r="C85" i="7"/>
  <c r="E85" i="4" s="1"/>
  <c r="C86" i="7"/>
  <c r="E86" i="4" s="1"/>
  <c r="C87" i="7"/>
  <c r="E87" i="4" s="1"/>
  <c r="C88" i="7"/>
  <c r="E88" i="4" s="1"/>
  <c r="C89" i="7"/>
  <c r="E89" i="4" s="1"/>
  <c r="C90" i="7"/>
  <c r="E90" i="4" s="1"/>
  <c r="C91" i="7"/>
  <c r="E91" i="4" s="1"/>
  <c r="C92" i="7"/>
  <c r="E92" i="4" s="1"/>
  <c r="C93" i="7"/>
  <c r="E93" i="4" s="1"/>
  <c r="C94" i="7"/>
  <c r="E94" i="4" s="1"/>
  <c r="C95" i="7"/>
  <c r="E95" i="4" s="1"/>
  <c r="C96" i="7"/>
  <c r="E96" i="4" s="1"/>
  <c r="C97" i="7"/>
  <c r="E97" i="4" s="1"/>
  <c r="C98" i="7"/>
  <c r="E98" i="4" s="1"/>
  <c r="C99" i="7"/>
  <c r="E99" i="4" s="1"/>
  <c r="C100" i="7"/>
  <c r="E100" i="4" s="1"/>
  <c r="C101" i="7"/>
  <c r="E101" i="4" s="1"/>
  <c r="C102" i="7"/>
  <c r="E102" i="4" s="1"/>
  <c r="C103" i="7"/>
  <c r="E103" i="4" s="1"/>
  <c r="C104" i="7"/>
  <c r="E104" i="4" s="1"/>
  <c r="C105" i="7"/>
  <c r="E105" i="4" s="1"/>
  <c r="C106" i="7"/>
  <c r="E106" i="4" s="1"/>
  <c r="C107" i="7"/>
  <c r="E107" i="4" s="1"/>
  <c r="C108" i="7"/>
  <c r="E108" i="4" s="1"/>
  <c r="C109" i="7"/>
  <c r="E109" i="4" s="1"/>
  <c r="C110" i="7"/>
  <c r="E110" i="4" s="1"/>
  <c r="C111" i="7"/>
  <c r="E111" i="4" s="1"/>
  <c r="C112" i="7"/>
  <c r="E112" i="4" s="1"/>
  <c r="C113" i="7"/>
  <c r="E113" i="4" s="1"/>
  <c r="C114" i="7"/>
  <c r="E114" i="4" s="1"/>
  <c r="C115" i="7"/>
  <c r="E115" i="4" s="1"/>
  <c r="C116" i="7"/>
  <c r="E116" i="4" s="1"/>
  <c r="C117" i="7"/>
  <c r="E117" i="4" s="1"/>
  <c r="C118" i="7"/>
  <c r="E118" i="4" s="1"/>
  <c r="C119" i="7"/>
  <c r="E119" i="4" s="1"/>
  <c r="C120" i="7"/>
  <c r="E120" i="4" s="1"/>
  <c r="C121" i="7"/>
  <c r="E121" i="4" s="1"/>
  <c r="C122" i="7"/>
  <c r="E122" i="4" s="1"/>
  <c r="C123" i="7"/>
  <c r="E123" i="4" s="1"/>
  <c r="C124" i="7"/>
  <c r="E124" i="4" s="1"/>
  <c r="C125" i="7"/>
  <c r="E125" i="4" s="1"/>
  <c r="C126" i="7"/>
  <c r="E126" i="4" s="1"/>
  <c r="C127" i="7"/>
  <c r="E127" i="4" s="1"/>
  <c r="C128" i="7"/>
  <c r="E128" i="4" s="1"/>
  <c r="C129" i="7"/>
  <c r="E129" i="4" s="1"/>
  <c r="C130" i="7"/>
  <c r="E130" i="4" s="1"/>
  <c r="C131" i="7"/>
  <c r="E131" i="4" s="1"/>
  <c r="C132" i="7"/>
  <c r="E132" i="4" s="1"/>
  <c r="C133" i="7"/>
  <c r="E133" i="4" s="1"/>
  <c r="C134" i="7"/>
  <c r="E134" i="4" s="1"/>
  <c r="C135" i="7"/>
  <c r="E135" i="4" s="1"/>
  <c r="C136" i="7"/>
  <c r="E136" i="4" s="1"/>
  <c r="C137" i="7"/>
  <c r="E137" i="4" s="1"/>
  <c r="C138" i="7"/>
  <c r="E138" i="4" s="1"/>
  <c r="C139" i="7"/>
  <c r="E139" i="4" s="1"/>
  <c r="C140" i="7"/>
  <c r="E140" i="4" s="1"/>
  <c r="C141" i="7"/>
  <c r="E141" i="4" s="1"/>
  <c r="C142" i="7"/>
  <c r="E142" i="4" s="1"/>
  <c r="C143" i="7"/>
  <c r="E143" i="4" s="1"/>
  <c r="C144" i="7"/>
  <c r="E144" i="4" s="1"/>
  <c r="C145" i="7"/>
  <c r="E145" i="4" s="1"/>
  <c r="C146" i="7"/>
  <c r="E146" i="4" s="1"/>
  <c r="C147" i="7"/>
  <c r="E147" i="4" s="1"/>
  <c r="C148" i="7"/>
  <c r="E148" i="4" s="1"/>
  <c r="C149" i="7"/>
  <c r="E149" i="4" s="1"/>
  <c r="C150" i="7"/>
  <c r="E150" i="4" s="1"/>
  <c r="C2" i="7"/>
  <c r="E2" i="4" s="1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2" i="7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3" i="1"/>
  <c r="E4" i="1"/>
  <c r="E5" i="1"/>
  <c r="E6" i="1"/>
  <c r="E7" i="1"/>
  <c r="E8" i="1"/>
  <c r="E9" i="1"/>
  <c r="E10" i="1"/>
  <c r="E1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3" i="1"/>
  <c r="D4" i="1"/>
  <c r="D5" i="1"/>
  <c r="D6" i="1"/>
  <c r="D7" i="1"/>
  <c r="D8" i="1"/>
  <c r="D9" i="1"/>
  <c r="D1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G2" i="1"/>
  <c r="F2" i="1"/>
  <c r="E2" i="1"/>
  <c r="D2" i="1"/>
  <c r="C2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1" i="1"/>
  <c r="B13" i="1"/>
  <c r="B14" i="1"/>
  <c r="B15" i="1"/>
  <c r="B16" i="1"/>
  <c r="B17" i="1"/>
  <c r="B18" i="1"/>
  <c r="B19" i="1"/>
  <c r="B20" i="1"/>
  <c r="B21" i="1"/>
  <c r="B22" i="1"/>
  <c r="B23" i="1"/>
  <c r="B24" i="1"/>
  <c r="B3" i="1"/>
  <c r="B4" i="1"/>
  <c r="B5" i="1"/>
  <c r="B6" i="1"/>
  <c r="B7" i="1"/>
  <c r="B8" i="1"/>
  <c r="B9" i="1"/>
  <c r="B10" i="1"/>
  <c r="B2" i="1"/>
  <c r="H61" i="4" l="1"/>
  <c r="I61" i="4" s="1"/>
  <c r="H111" i="4"/>
  <c r="I111" i="4" s="1"/>
  <c r="H109" i="4"/>
  <c r="I109" i="4" s="1"/>
  <c r="H46" i="4"/>
  <c r="I46" i="4" s="1"/>
  <c r="H95" i="4"/>
  <c r="I95" i="4" s="1"/>
  <c r="G30" i="4"/>
  <c r="H30" i="4" s="1"/>
  <c r="I30" i="4" s="1"/>
  <c r="H141" i="4"/>
  <c r="I141" i="4" s="1"/>
  <c r="H125" i="4"/>
  <c r="I125" i="4" s="1"/>
  <c r="H63" i="4"/>
  <c r="I63" i="4" s="1"/>
  <c r="H62" i="4"/>
  <c r="I62" i="4" s="1"/>
  <c r="H45" i="4"/>
  <c r="I45" i="4" s="1"/>
  <c r="H15" i="4"/>
  <c r="I15" i="4" s="1"/>
  <c r="H14" i="4"/>
  <c r="I14" i="4" s="1"/>
  <c r="H13" i="4"/>
  <c r="I13" i="4" s="1"/>
  <c r="G127" i="4"/>
  <c r="H127" i="4" s="1"/>
  <c r="I127" i="4" s="1"/>
  <c r="H146" i="4"/>
  <c r="I146" i="4" s="1"/>
  <c r="H130" i="4"/>
  <c r="I130" i="4" s="1"/>
  <c r="H114" i="4"/>
  <c r="I114" i="4" s="1"/>
  <c r="H98" i="4"/>
  <c r="I98" i="4" s="1"/>
  <c r="H82" i="4"/>
  <c r="I82" i="4" s="1"/>
  <c r="H66" i="4"/>
  <c r="I66" i="4" s="1"/>
  <c r="H50" i="4"/>
  <c r="I50" i="4" s="1"/>
  <c r="H34" i="4"/>
  <c r="I34" i="4" s="1"/>
  <c r="H18" i="4"/>
  <c r="I18" i="4" s="1"/>
  <c r="H145" i="4"/>
  <c r="I145" i="4" s="1"/>
  <c r="H129" i="4"/>
  <c r="I129" i="4" s="1"/>
  <c r="H113" i="4"/>
  <c r="I113" i="4" s="1"/>
  <c r="H97" i="4"/>
  <c r="I97" i="4" s="1"/>
  <c r="H81" i="4"/>
  <c r="I81" i="4" s="1"/>
  <c r="H65" i="4"/>
  <c r="I65" i="4" s="1"/>
  <c r="H49" i="4"/>
  <c r="I49" i="4" s="1"/>
  <c r="H33" i="4"/>
  <c r="I33" i="4" s="1"/>
  <c r="H17" i="4"/>
  <c r="I17" i="4" s="1"/>
  <c r="G92" i="4"/>
  <c r="H92" i="4" s="1"/>
  <c r="I92" i="4" s="1"/>
  <c r="H144" i="4"/>
  <c r="I144" i="4" s="1"/>
  <c r="H128" i="4"/>
  <c r="I128" i="4" s="1"/>
  <c r="H112" i="4"/>
  <c r="I112" i="4" s="1"/>
  <c r="H96" i="4"/>
  <c r="I96" i="4" s="1"/>
  <c r="H80" i="4"/>
  <c r="I80" i="4" s="1"/>
  <c r="H64" i="4"/>
  <c r="I64" i="4" s="1"/>
  <c r="H48" i="4"/>
  <c r="I48" i="4" s="1"/>
  <c r="H32" i="4"/>
  <c r="I32" i="4" s="1"/>
  <c r="H16" i="4"/>
  <c r="I16" i="4" s="1"/>
  <c r="H143" i="4"/>
  <c r="I143" i="4" s="1"/>
  <c r="G78" i="4"/>
  <c r="H78" i="4" s="1"/>
  <c r="I78" i="4" s="1"/>
  <c r="H142" i="4"/>
  <c r="I142" i="4" s="1"/>
  <c r="H126" i="4"/>
  <c r="I126" i="4" s="1"/>
  <c r="H110" i="4"/>
  <c r="I110" i="4" s="1"/>
  <c r="H94" i="4"/>
  <c r="I94" i="4" s="1"/>
  <c r="H140" i="4"/>
  <c r="I140" i="4" s="1"/>
  <c r="H124" i="4"/>
  <c r="I124" i="4" s="1"/>
  <c r="H108" i="4"/>
  <c r="I108" i="4" s="1"/>
  <c r="H76" i="4"/>
  <c r="I76" i="4" s="1"/>
  <c r="H60" i="4"/>
  <c r="I60" i="4" s="1"/>
  <c r="H44" i="4"/>
  <c r="I44" i="4" s="1"/>
  <c r="H28" i="4"/>
  <c r="I28" i="4" s="1"/>
  <c r="H12" i="4"/>
  <c r="I12" i="4" s="1"/>
  <c r="H139" i="4"/>
  <c r="I139" i="4" s="1"/>
  <c r="H123" i="4"/>
  <c r="I123" i="4" s="1"/>
  <c r="H107" i="4"/>
  <c r="I107" i="4" s="1"/>
  <c r="H91" i="4"/>
  <c r="I91" i="4" s="1"/>
  <c r="H75" i="4"/>
  <c r="I75" i="4" s="1"/>
  <c r="H59" i="4"/>
  <c r="I59" i="4" s="1"/>
  <c r="H43" i="4"/>
  <c r="I43" i="4" s="1"/>
  <c r="H27" i="4"/>
  <c r="I27" i="4" s="1"/>
  <c r="H11" i="4"/>
  <c r="I11" i="4" s="1"/>
  <c r="H138" i="4"/>
  <c r="I138" i="4" s="1"/>
  <c r="H122" i="4"/>
  <c r="I122" i="4" s="1"/>
  <c r="H106" i="4"/>
  <c r="I106" i="4" s="1"/>
  <c r="H90" i="4"/>
  <c r="I90" i="4" s="1"/>
  <c r="H74" i="4"/>
  <c r="I74" i="4" s="1"/>
  <c r="H58" i="4"/>
  <c r="I58" i="4" s="1"/>
  <c r="H42" i="4"/>
  <c r="I42" i="4" s="1"/>
  <c r="H26" i="4"/>
  <c r="I26" i="4" s="1"/>
  <c r="H10" i="4"/>
  <c r="I10" i="4" s="1"/>
  <c r="H137" i="4"/>
  <c r="I137" i="4" s="1"/>
  <c r="H121" i="4"/>
  <c r="I121" i="4" s="1"/>
  <c r="H105" i="4"/>
  <c r="I105" i="4" s="1"/>
  <c r="H89" i="4"/>
  <c r="I89" i="4" s="1"/>
  <c r="H73" i="4"/>
  <c r="I73" i="4" s="1"/>
  <c r="H57" i="4"/>
  <c r="I57" i="4" s="1"/>
  <c r="H41" i="4"/>
  <c r="I41" i="4" s="1"/>
  <c r="H25" i="4"/>
  <c r="I25" i="4" s="1"/>
  <c r="H9" i="4"/>
  <c r="I9" i="4" s="1"/>
  <c r="H136" i="4"/>
  <c r="I136" i="4" s="1"/>
  <c r="H120" i="4"/>
  <c r="I120" i="4" s="1"/>
  <c r="H104" i="4"/>
  <c r="I104" i="4" s="1"/>
  <c r="H88" i="4"/>
  <c r="I88" i="4" s="1"/>
  <c r="H72" i="4"/>
  <c r="I72" i="4" s="1"/>
  <c r="H56" i="4"/>
  <c r="I56" i="4" s="1"/>
  <c r="H40" i="4"/>
  <c r="I40" i="4" s="1"/>
  <c r="H24" i="4"/>
  <c r="I24" i="4" s="1"/>
  <c r="H8" i="4"/>
  <c r="I8" i="4" s="1"/>
  <c r="H135" i="4"/>
  <c r="I135" i="4" s="1"/>
  <c r="H119" i="4"/>
  <c r="I119" i="4" s="1"/>
  <c r="H103" i="4"/>
  <c r="I103" i="4" s="1"/>
  <c r="H87" i="4"/>
  <c r="I87" i="4" s="1"/>
  <c r="H71" i="4"/>
  <c r="I71" i="4" s="1"/>
  <c r="H55" i="4"/>
  <c r="I55" i="4" s="1"/>
  <c r="H39" i="4"/>
  <c r="I39" i="4" s="1"/>
  <c r="H23" i="4"/>
  <c r="I23" i="4" s="1"/>
  <c r="H7" i="4"/>
  <c r="I7" i="4" s="1"/>
  <c r="H150" i="4"/>
  <c r="I150" i="4" s="1"/>
  <c r="H134" i="4"/>
  <c r="I134" i="4" s="1"/>
  <c r="H118" i="4"/>
  <c r="I118" i="4" s="1"/>
  <c r="H102" i="4"/>
  <c r="I102" i="4" s="1"/>
  <c r="H86" i="4"/>
  <c r="I86" i="4" s="1"/>
  <c r="H70" i="4"/>
  <c r="I70" i="4" s="1"/>
  <c r="H54" i="4"/>
  <c r="I54" i="4" s="1"/>
  <c r="H38" i="4"/>
  <c r="I38" i="4" s="1"/>
  <c r="H22" i="4"/>
  <c r="I22" i="4" s="1"/>
  <c r="H6" i="4"/>
  <c r="I6" i="4" s="1"/>
  <c r="H149" i="4"/>
  <c r="I149" i="4" s="1"/>
  <c r="H133" i="4"/>
  <c r="I133" i="4" s="1"/>
  <c r="H117" i="4"/>
  <c r="I117" i="4" s="1"/>
  <c r="H101" i="4"/>
  <c r="I101" i="4" s="1"/>
  <c r="H85" i="4"/>
  <c r="I85" i="4" s="1"/>
  <c r="H69" i="4"/>
  <c r="I69" i="4" s="1"/>
  <c r="H53" i="4"/>
  <c r="I53" i="4" s="1"/>
  <c r="H37" i="4"/>
  <c r="I37" i="4" s="1"/>
  <c r="H21" i="4"/>
  <c r="I21" i="4" s="1"/>
  <c r="H5" i="4"/>
  <c r="I5" i="4" s="1"/>
  <c r="H148" i="4"/>
  <c r="I148" i="4" s="1"/>
  <c r="H132" i="4"/>
  <c r="I132" i="4" s="1"/>
  <c r="H116" i="4"/>
  <c r="I116" i="4" s="1"/>
  <c r="H100" i="4"/>
  <c r="I100" i="4" s="1"/>
  <c r="H84" i="4"/>
  <c r="I84" i="4" s="1"/>
  <c r="H68" i="4"/>
  <c r="I68" i="4" s="1"/>
  <c r="H52" i="4"/>
  <c r="I52" i="4" s="1"/>
  <c r="H36" i="4"/>
  <c r="I36" i="4" s="1"/>
  <c r="H20" i="4"/>
  <c r="I20" i="4" s="1"/>
  <c r="H4" i="4"/>
  <c r="I4" i="4" s="1"/>
  <c r="H147" i="4"/>
  <c r="I147" i="4" s="1"/>
  <c r="H131" i="4"/>
  <c r="I131" i="4" s="1"/>
  <c r="H115" i="4"/>
  <c r="I115" i="4" s="1"/>
  <c r="H99" i="4"/>
  <c r="I99" i="4" s="1"/>
  <c r="H83" i="4"/>
  <c r="I83" i="4" s="1"/>
  <c r="H67" i="4"/>
  <c r="I67" i="4" s="1"/>
  <c r="H51" i="4"/>
  <c r="I51" i="4" s="1"/>
  <c r="H35" i="4"/>
  <c r="I35" i="4" s="1"/>
  <c r="H19" i="4"/>
  <c r="I19" i="4" s="1"/>
  <c r="H3" i="4"/>
  <c r="I3" i="4" s="1"/>
  <c r="H2" i="4"/>
  <c r="I2" i="4" s="1"/>
</calcChain>
</file>

<file path=xl/sharedStrings.xml><?xml version="1.0" encoding="utf-8"?>
<sst xmlns="http://schemas.openxmlformats.org/spreadsheetml/2006/main" count="788" uniqueCount="784">
  <si>
    <t>Parts No</t>
  </si>
  <si>
    <t>Part Category</t>
  </si>
  <si>
    <t>Descrition</t>
  </si>
  <si>
    <t xml:space="preserve">Unit Of Measure </t>
  </si>
  <si>
    <t xml:space="preserve">Unit Rate </t>
  </si>
  <si>
    <t>Opening Stock</t>
  </si>
  <si>
    <t>MinStock</t>
  </si>
  <si>
    <t>Raw Material</t>
  </si>
  <si>
    <t xml:space="preserve">Vendor Code </t>
  </si>
  <si>
    <t xml:space="preserve"> Vendor Name </t>
  </si>
  <si>
    <t>Address</t>
  </si>
  <si>
    <t xml:space="preserve">Payment terms </t>
  </si>
  <si>
    <t>V-901</t>
  </si>
  <si>
    <t>V-902</t>
  </si>
  <si>
    <t>PONumber</t>
  </si>
  <si>
    <t>VendorCode</t>
  </si>
  <si>
    <t>PartNo</t>
  </si>
  <si>
    <t>OrderQuantity</t>
  </si>
  <si>
    <t>PODate</t>
  </si>
  <si>
    <t xml:space="preserve">PO-801 </t>
  </si>
  <si>
    <t>PO-802</t>
  </si>
  <si>
    <t>GRRNo</t>
  </si>
  <si>
    <t>ChallanDate</t>
  </si>
  <si>
    <t>TransporterID</t>
  </si>
  <si>
    <t>ChallanQty</t>
  </si>
  <si>
    <t>AcceptedQty</t>
  </si>
  <si>
    <t>RejectedQty</t>
  </si>
  <si>
    <t>Remarks</t>
  </si>
  <si>
    <t>GRR-2001</t>
  </si>
  <si>
    <t>T-01</t>
  </si>
  <si>
    <t>MIRNo</t>
  </si>
  <si>
    <t>IssueDate</t>
  </si>
  <si>
    <t>QtyIssued</t>
  </si>
  <si>
    <t>ProductionLine</t>
  </si>
  <si>
    <t>MIR-501</t>
  </si>
  <si>
    <t>TransporterName</t>
  </si>
  <si>
    <t>Tata Logistics</t>
  </si>
  <si>
    <t>T-02</t>
  </si>
  <si>
    <t>Blue Dart India</t>
  </si>
  <si>
    <t>T-03</t>
  </si>
  <si>
    <t>DHL Express</t>
  </si>
  <si>
    <t>T-04</t>
  </si>
  <si>
    <t>Gati Transport</t>
  </si>
  <si>
    <t>T-05</t>
  </si>
  <si>
    <t>FedEx Supply Chain</t>
  </si>
  <si>
    <t>V-903</t>
  </si>
  <si>
    <t>V-904</t>
  </si>
  <si>
    <t>V-905</t>
  </si>
  <si>
    <t>V-906</t>
  </si>
  <si>
    <t>V-907</t>
  </si>
  <si>
    <t>V-908</t>
  </si>
  <si>
    <t>V-909</t>
  </si>
  <si>
    <t>V-910</t>
  </si>
  <si>
    <t>V-911</t>
  </si>
  <si>
    <t>V-912</t>
  </si>
  <si>
    <t>V-913</t>
  </si>
  <si>
    <t>V-914</t>
  </si>
  <si>
    <t>V-915</t>
  </si>
  <si>
    <t>V-916</t>
  </si>
  <si>
    <t>V-917</t>
  </si>
  <si>
    <t>V-918</t>
  </si>
  <si>
    <t>V-919</t>
  </si>
  <si>
    <t>V-920</t>
  </si>
  <si>
    <t>V-921</t>
  </si>
  <si>
    <t>V-922</t>
  </si>
  <si>
    <t>V-923</t>
  </si>
  <si>
    <t>V-924</t>
  </si>
  <si>
    <t>V-925</t>
  </si>
  <si>
    <t>V-926</t>
  </si>
  <si>
    <t>V-927</t>
  </si>
  <si>
    <t>V-928</t>
  </si>
  <si>
    <t>V-929</t>
  </si>
  <si>
    <t>V-930</t>
  </si>
  <si>
    <t>V-931</t>
  </si>
  <si>
    <t>V-932</t>
  </si>
  <si>
    <t>V-933</t>
  </si>
  <si>
    <t>V-934</t>
  </si>
  <si>
    <t>V-935</t>
  </si>
  <si>
    <t>V-936</t>
  </si>
  <si>
    <t>V-937</t>
  </si>
  <si>
    <t>V-938</t>
  </si>
  <si>
    <t>V-939</t>
  </si>
  <si>
    <t>V-940</t>
  </si>
  <si>
    <t>V-941</t>
  </si>
  <si>
    <t>V-942</t>
  </si>
  <si>
    <t>V-943</t>
  </si>
  <si>
    <t>V-944</t>
  </si>
  <si>
    <t>V-945</t>
  </si>
  <si>
    <t>V-946</t>
  </si>
  <si>
    <t>V-947</t>
  </si>
  <si>
    <t>V-948</t>
  </si>
  <si>
    <t>V-949</t>
  </si>
  <si>
    <t>V-950</t>
  </si>
  <si>
    <t>V-951</t>
  </si>
  <si>
    <t>V-952</t>
  </si>
  <si>
    <t>V-953</t>
  </si>
  <si>
    <t>V-954</t>
  </si>
  <si>
    <t>V-955</t>
  </si>
  <si>
    <t>V-956</t>
  </si>
  <si>
    <t>V-957</t>
  </si>
  <si>
    <t>V-958</t>
  </si>
  <si>
    <t>V-959</t>
  </si>
  <si>
    <t>V-960</t>
  </si>
  <si>
    <t>V-961</t>
  </si>
  <si>
    <t>V-962</t>
  </si>
  <si>
    <t>V-963</t>
  </si>
  <si>
    <t>V-964</t>
  </si>
  <si>
    <t>V-965</t>
  </si>
  <si>
    <t>V-966</t>
  </si>
  <si>
    <t>V-967</t>
  </si>
  <si>
    <t>V-968</t>
  </si>
  <si>
    <t>V-969</t>
  </si>
  <si>
    <t>V-970</t>
  </si>
  <si>
    <t>V-971</t>
  </si>
  <si>
    <t>V-972</t>
  </si>
  <si>
    <t>V-973</t>
  </si>
  <si>
    <t>V-974</t>
  </si>
  <si>
    <t>V-975</t>
  </si>
  <si>
    <t>V-976</t>
  </si>
  <si>
    <t>V-977</t>
  </si>
  <si>
    <t>V-978</t>
  </si>
  <si>
    <t>V-979</t>
  </si>
  <si>
    <t>V-980</t>
  </si>
  <si>
    <t>V-981</t>
  </si>
  <si>
    <t>V-982</t>
  </si>
  <si>
    <t>V-983</t>
  </si>
  <si>
    <t>V-984</t>
  </si>
  <si>
    <t>V-985</t>
  </si>
  <si>
    <t>V-986</t>
  </si>
  <si>
    <t>V-987</t>
  </si>
  <si>
    <t>V-988</t>
  </si>
  <si>
    <t>V-989</t>
  </si>
  <si>
    <t>V-990</t>
  </si>
  <si>
    <t>V-991</t>
  </si>
  <si>
    <t>V-992</t>
  </si>
  <si>
    <t>V-993</t>
  </si>
  <si>
    <t>V-994</t>
  </si>
  <si>
    <t>V-995</t>
  </si>
  <si>
    <t>V-996</t>
  </si>
  <si>
    <t>V-997</t>
  </si>
  <si>
    <t>V-998</t>
  </si>
  <si>
    <t>V-999</t>
  </si>
  <si>
    <t>V-1000</t>
  </si>
  <si>
    <t>V-1001</t>
  </si>
  <si>
    <t>V-1002</t>
  </si>
  <si>
    <t>V-1003</t>
  </si>
  <si>
    <t>V-1004</t>
  </si>
  <si>
    <t>V-1005</t>
  </si>
  <si>
    <t>V-1006</t>
  </si>
  <si>
    <t>V-1007</t>
  </si>
  <si>
    <t>V-1008</t>
  </si>
  <si>
    <t>V-1009</t>
  </si>
  <si>
    <t>V-1010</t>
  </si>
  <si>
    <t>V-1011</t>
  </si>
  <si>
    <t>V-1012</t>
  </si>
  <si>
    <t>V-1013</t>
  </si>
  <si>
    <t>V-1014</t>
  </si>
  <si>
    <t>V-1015</t>
  </si>
  <si>
    <t>V-1016</t>
  </si>
  <si>
    <t>V-1017</t>
  </si>
  <si>
    <t>V-1018</t>
  </si>
  <si>
    <t>V-1019</t>
  </si>
  <si>
    <t>V-1020</t>
  </si>
  <si>
    <t>V-1021</t>
  </si>
  <si>
    <t>V-1022</t>
  </si>
  <si>
    <t>V-1023</t>
  </si>
  <si>
    <t>V-1024</t>
  </si>
  <si>
    <t>V-1025</t>
  </si>
  <si>
    <t>V-1026</t>
  </si>
  <si>
    <t>V-1027</t>
  </si>
  <si>
    <t>V-1028</t>
  </si>
  <si>
    <t>V-1029</t>
  </si>
  <si>
    <t>V-1030</t>
  </si>
  <si>
    <t>V-1031</t>
  </si>
  <si>
    <t>V-1032</t>
  </si>
  <si>
    <t>V-1033</t>
  </si>
  <si>
    <t>V-1034</t>
  </si>
  <si>
    <t>V-1035</t>
  </si>
  <si>
    <t>V-1036</t>
  </si>
  <si>
    <t>V-1037</t>
  </si>
  <si>
    <t>V-1038</t>
  </si>
  <si>
    <t>V-1039</t>
  </si>
  <si>
    <t>V-1040</t>
  </si>
  <si>
    <t>V-1041</t>
  </si>
  <si>
    <t>V-1042</t>
  </si>
  <si>
    <t>V-1043</t>
  </si>
  <si>
    <t>V-1044</t>
  </si>
  <si>
    <t>V-1045</t>
  </si>
  <si>
    <t>V-1046</t>
  </si>
  <si>
    <t>V-1047</t>
  </si>
  <si>
    <t>V-1048</t>
  </si>
  <si>
    <t>V-1049</t>
  </si>
  <si>
    <t>"Supplier Corporation Ltd -" &amp; A2</t>
  </si>
  <si>
    <t>"Supplier Corporation Ltd -" &amp; A3</t>
  </si>
  <si>
    <t>"Supplier Corporation Ltd -" &amp; A4</t>
  </si>
  <si>
    <t>"Supplier Corporation Ltd -" &amp; A5</t>
  </si>
  <si>
    <t>"Supplier Corporation Ltd -" &amp; A6</t>
  </si>
  <si>
    <t>"Supplier Corporation Ltd -" &amp; A7</t>
  </si>
  <si>
    <t>"Supplier Corporation Ltd -" &amp; A8</t>
  </si>
  <si>
    <t>"Supplier Corporation Ltd -" &amp; A9</t>
  </si>
  <si>
    <t>"Supplier Corporation Ltd -" &amp; A10</t>
  </si>
  <si>
    <t>"Supplier Corporation Ltd -" &amp; A11</t>
  </si>
  <si>
    <t>"Supplier Corporation Ltd -" &amp; A12</t>
  </si>
  <si>
    <t>"Supplier Corporation Ltd -" &amp; A13</t>
  </si>
  <si>
    <t>"Supplier Corporation Ltd -" &amp; A14</t>
  </si>
  <si>
    <t>"Supplier Corporation Ltd -" &amp; A15</t>
  </si>
  <si>
    <t>"Supplier Corporation Ltd -" &amp; A16</t>
  </si>
  <si>
    <t>"Supplier Corporation Ltd -" &amp; A17</t>
  </si>
  <si>
    <t>"Supplier Corporation Ltd -" &amp; A18</t>
  </si>
  <si>
    <t>"Supplier Corporation Ltd -" &amp; A19</t>
  </si>
  <si>
    <t>"Supplier Corporation Ltd -" &amp; A20</t>
  </si>
  <si>
    <t>"Supplier Corporation Ltd -" &amp; A21</t>
  </si>
  <si>
    <t>"Supplier Corporation Ltd -" &amp; A22</t>
  </si>
  <si>
    <t>"Supplier Corporation Ltd -" &amp; A23</t>
  </si>
  <si>
    <t>"Supplier Corporation Ltd -" &amp; A24</t>
  </si>
  <si>
    <t>"Supplier Corporation Ltd -" &amp; A25</t>
  </si>
  <si>
    <t>"Supplier Corporation Ltd -" &amp; A26</t>
  </si>
  <si>
    <t>"Supplier Corporation Ltd -" &amp; A27</t>
  </si>
  <si>
    <t>"Supplier Corporation Ltd -" &amp; A28</t>
  </si>
  <si>
    <t>"Supplier Corporation Ltd -" &amp; A29</t>
  </si>
  <si>
    <t>"Supplier Corporation Ltd -" &amp; A30</t>
  </si>
  <si>
    <t>"Supplier Corporation Ltd -" &amp; A31</t>
  </si>
  <si>
    <t>"Supplier Corporation Ltd -" &amp; A32</t>
  </si>
  <si>
    <t>"Supplier Corporation Ltd -" &amp; A33</t>
  </si>
  <si>
    <t>"Supplier Corporation Ltd -" &amp; A34</t>
  </si>
  <si>
    <t>"Supplier Corporation Ltd -" &amp; A35</t>
  </si>
  <si>
    <t>"Supplier Corporation Ltd -" &amp; A36</t>
  </si>
  <si>
    <t>"Supplier Corporation Ltd -" &amp; A37</t>
  </si>
  <si>
    <t>"Supplier Corporation Ltd -" &amp; A38</t>
  </si>
  <si>
    <t>"Supplier Corporation Ltd -" &amp; A39</t>
  </si>
  <si>
    <t>"Supplier Corporation Ltd -" &amp; A40</t>
  </si>
  <si>
    <t>"Supplier Corporation Ltd -" &amp; A41</t>
  </si>
  <si>
    <t>"Supplier Corporation Ltd -" &amp; A42</t>
  </si>
  <si>
    <t>"Supplier Corporation Ltd -" &amp; A43</t>
  </si>
  <si>
    <t>"Supplier Corporation Ltd -" &amp; A44</t>
  </si>
  <si>
    <t>"Supplier Corporation Ltd -" &amp; A45</t>
  </si>
  <si>
    <t>"Supplier Corporation Ltd -" &amp; A46</t>
  </si>
  <si>
    <t>"Supplier Corporation Ltd -" &amp; A47</t>
  </si>
  <si>
    <t>"Supplier Corporation Ltd -" &amp; A48</t>
  </si>
  <si>
    <t>"Supplier Corporation Ltd -" &amp; A49</t>
  </si>
  <si>
    <t>"Supplier Corporation Ltd -" &amp; A50</t>
  </si>
  <si>
    <t>"Supplier Corporation Ltd -" &amp; A51</t>
  </si>
  <si>
    <t>"Supplier Corporation Ltd -" &amp; A52</t>
  </si>
  <si>
    <t>"Supplier Corporation Ltd -" &amp; A53</t>
  </si>
  <si>
    <t>"Supplier Corporation Ltd -" &amp; A54</t>
  </si>
  <si>
    <t>"Supplier Corporation Ltd -" &amp; A55</t>
  </si>
  <si>
    <t>"Supplier Corporation Ltd -" &amp; A56</t>
  </si>
  <si>
    <t>"Supplier Corporation Ltd -" &amp; A57</t>
  </si>
  <si>
    <t>"Supplier Corporation Ltd -" &amp; A58</t>
  </si>
  <si>
    <t>"Supplier Corporation Ltd -" &amp; A59</t>
  </si>
  <si>
    <t>"Supplier Corporation Ltd -" &amp; A60</t>
  </si>
  <si>
    <t>"Supplier Corporation Ltd -" &amp; A61</t>
  </si>
  <si>
    <t>"Supplier Corporation Ltd -" &amp; A62</t>
  </si>
  <si>
    <t>"Supplier Corporation Ltd -" &amp; A63</t>
  </si>
  <si>
    <t>"Supplier Corporation Ltd -" &amp; A64</t>
  </si>
  <si>
    <t>"Supplier Corporation Ltd -" &amp; A65</t>
  </si>
  <si>
    <t>"Supplier Corporation Ltd -" &amp; A66</t>
  </si>
  <si>
    <t>"Supplier Corporation Ltd -" &amp; A67</t>
  </si>
  <si>
    <t>"Supplier Corporation Ltd -" &amp; A68</t>
  </si>
  <si>
    <t>"Supplier Corporation Ltd -" &amp; A69</t>
  </si>
  <si>
    <t>"Supplier Corporation Ltd -" &amp; A70</t>
  </si>
  <si>
    <t>"Supplier Corporation Ltd -" &amp; A71</t>
  </si>
  <si>
    <t>"Supplier Corporation Ltd -" &amp; A72</t>
  </si>
  <si>
    <t>"Supplier Corporation Ltd -" &amp; A73</t>
  </si>
  <si>
    <t>"Supplier Corporation Ltd -" &amp; A74</t>
  </si>
  <si>
    <t>"Supplier Corporation Ltd -" &amp; A75</t>
  </si>
  <si>
    <t>"Supplier Corporation Ltd -" &amp; A76</t>
  </si>
  <si>
    <t>"Supplier Corporation Ltd -" &amp; A77</t>
  </si>
  <si>
    <t>"Supplier Corporation Ltd -" &amp; A78</t>
  </si>
  <si>
    <t>"Supplier Corporation Ltd -" &amp; A79</t>
  </si>
  <si>
    <t>"Supplier Corporation Ltd -" &amp; A80</t>
  </si>
  <si>
    <t>"Supplier Corporation Ltd -" &amp; A81</t>
  </si>
  <si>
    <t>"Supplier Corporation Ltd -" &amp; A82</t>
  </si>
  <si>
    <t>"Supplier Corporation Ltd -" &amp; A83</t>
  </si>
  <si>
    <t>"Supplier Corporation Ltd -" &amp; A84</t>
  </si>
  <si>
    <t>"Supplier Corporation Ltd -" &amp; A85</t>
  </si>
  <si>
    <t>"Supplier Corporation Ltd -" &amp; A86</t>
  </si>
  <si>
    <t>"Supplier Corporation Ltd -" &amp; A87</t>
  </si>
  <si>
    <t>"Supplier Corporation Ltd -" &amp; A88</t>
  </si>
  <si>
    <t>"Supplier Corporation Ltd -" &amp; A89</t>
  </si>
  <si>
    <t>"Supplier Corporation Ltd -" &amp; A90</t>
  </si>
  <si>
    <t>"Supplier Corporation Ltd -" &amp; A91</t>
  </si>
  <si>
    <t>"Supplier Corporation Ltd -" &amp; A92</t>
  </si>
  <si>
    <t>"Supplier Corporation Ltd -" &amp; A93</t>
  </si>
  <si>
    <t>"Supplier Corporation Ltd -" &amp; A94</t>
  </si>
  <si>
    <t>"Supplier Corporation Ltd -" &amp; A95</t>
  </si>
  <si>
    <t>"Supplier Corporation Ltd -" &amp; A96</t>
  </si>
  <si>
    <t>"Supplier Corporation Ltd -" &amp; A97</t>
  </si>
  <si>
    <t>"Supplier Corporation Ltd -" &amp; A98</t>
  </si>
  <si>
    <t>"Supplier Corporation Ltd -" &amp; A99</t>
  </si>
  <si>
    <t>"Supplier Corporation Ltd -" &amp; A100</t>
  </si>
  <si>
    <t>"Supplier Corporation Ltd -" &amp; A101</t>
  </si>
  <si>
    <t>"Supplier Corporation Ltd -" &amp; A102</t>
  </si>
  <si>
    <t>"Supplier Corporation Ltd -" &amp; A103</t>
  </si>
  <si>
    <t>"Supplier Corporation Ltd -" &amp; A104</t>
  </si>
  <si>
    <t>"Supplier Corporation Ltd -" &amp; A105</t>
  </si>
  <si>
    <t>"Supplier Corporation Ltd -" &amp; A106</t>
  </si>
  <si>
    <t>"Supplier Corporation Ltd -" &amp; A107</t>
  </si>
  <si>
    <t>"Supplier Corporation Ltd -" &amp; A108</t>
  </si>
  <si>
    <t>"Supplier Corporation Ltd -" &amp; A109</t>
  </si>
  <si>
    <t>"Supplier Corporation Ltd -" &amp; A110</t>
  </si>
  <si>
    <t>"Supplier Corporation Ltd -" &amp; A111</t>
  </si>
  <si>
    <t>"Supplier Corporation Ltd -" &amp; A112</t>
  </si>
  <si>
    <t>"Supplier Corporation Ltd -" &amp; A113</t>
  </si>
  <si>
    <t>"Supplier Corporation Ltd -" &amp; A114</t>
  </si>
  <si>
    <t>"Supplier Corporation Ltd -" &amp; A115</t>
  </si>
  <si>
    <t>"Supplier Corporation Ltd -" &amp; A116</t>
  </si>
  <si>
    <t>"Supplier Corporation Ltd -" &amp; A117</t>
  </si>
  <si>
    <t>"Supplier Corporation Ltd -" &amp; A118</t>
  </si>
  <si>
    <t>"Supplier Corporation Ltd -" &amp; A119</t>
  </si>
  <si>
    <t>"Supplier Corporation Ltd -" &amp; A120</t>
  </si>
  <si>
    <t>"Supplier Corporation Ltd -" &amp; A121</t>
  </si>
  <si>
    <t>"Supplier Corporation Ltd -" &amp; A122</t>
  </si>
  <si>
    <t>"Supplier Corporation Ltd -" &amp; A123</t>
  </si>
  <si>
    <t>"Supplier Corporation Ltd -" &amp; A124</t>
  </si>
  <si>
    <t>"Supplier Corporation Ltd -" &amp; A125</t>
  </si>
  <si>
    <t>"Supplier Corporation Ltd -" &amp; A126</t>
  </si>
  <si>
    <t>"Supplier Corporation Ltd -" &amp; A127</t>
  </si>
  <si>
    <t>"Supplier Corporation Ltd -" &amp; A128</t>
  </si>
  <si>
    <t>"Supplier Corporation Ltd -" &amp; A129</t>
  </si>
  <si>
    <t>"Supplier Corporation Ltd -" &amp; A130</t>
  </si>
  <si>
    <t>"Supplier Corporation Ltd -" &amp; A131</t>
  </si>
  <si>
    <t>"Supplier Corporation Ltd -" &amp; A132</t>
  </si>
  <si>
    <t>"Supplier Corporation Ltd -" &amp; A133</t>
  </si>
  <si>
    <t>"Supplier Corporation Ltd -" &amp; A134</t>
  </si>
  <si>
    <t>"Supplier Corporation Ltd -" &amp; A135</t>
  </si>
  <si>
    <t>"Supplier Corporation Ltd -" &amp; A136</t>
  </si>
  <si>
    <t>"Supplier Corporation Ltd -" &amp; A137</t>
  </si>
  <si>
    <t>"Supplier Corporation Ltd -" &amp; A138</t>
  </si>
  <si>
    <t>"Supplier Corporation Ltd -" &amp; A139</t>
  </si>
  <si>
    <t>"Supplier Corporation Ltd -" &amp; A140</t>
  </si>
  <si>
    <t>"Supplier Corporation Ltd -" &amp; A141</t>
  </si>
  <si>
    <t>"Supplier Corporation Ltd -" &amp; A142</t>
  </si>
  <si>
    <t>"Supplier Corporation Ltd -" &amp; A143</t>
  </si>
  <si>
    <t>"Supplier Corporation Ltd -" &amp; A144</t>
  </si>
  <si>
    <t>"Supplier Corporation Ltd -" &amp; A145</t>
  </si>
  <si>
    <t>"Supplier Corporation Ltd -" &amp; A146</t>
  </si>
  <si>
    <t>"Supplier Corporation Ltd -" &amp; A147</t>
  </si>
  <si>
    <t>"Supplier Corporation Ltd -" &amp; A148</t>
  </si>
  <si>
    <t>"Supplier Corporation Ltd -" &amp; A149</t>
  </si>
  <si>
    <t>"Supplier Corporation Ltd -" &amp; A150</t>
  </si>
  <si>
    <t>PO-803</t>
  </si>
  <si>
    <t>PO-804</t>
  </si>
  <si>
    <t>PO-805</t>
  </si>
  <si>
    <t>PO-806</t>
  </si>
  <si>
    <t>PO-807</t>
  </si>
  <si>
    <t>PO-808</t>
  </si>
  <si>
    <t>PO-809</t>
  </si>
  <si>
    <t>PO-810</t>
  </si>
  <si>
    <t>PO-811</t>
  </si>
  <si>
    <t>PO-812</t>
  </si>
  <si>
    <t>PO-813</t>
  </si>
  <si>
    <t>PO-814</t>
  </si>
  <si>
    <t>PO-815</t>
  </si>
  <si>
    <t>PO-816</t>
  </si>
  <si>
    <t>PO-817</t>
  </si>
  <si>
    <t>PO-818</t>
  </si>
  <si>
    <t>PO-819</t>
  </si>
  <si>
    <t>PO-820</t>
  </si>
  <si>
    <t>PO-821</t>
  </si>
  <si>
    <t>PO-822</t>
  </si>
  <si>
    <t>PO-823</t>
  </si>
  <si>
    <t>PO-824</t>
  </si>
  <si>
    <t>PO-825</t>
  </si>
  <si>
    <t>PO-826</t>
  </si>
  <si>
    <t>PO-827</t>
  </si>
  <si>
    <t>PO-828</t>
  </si>
  <si>
    <t>PO-829</t>
  </si>
  <si>
    <t>PO-830</t>
  </si>
  <si>
    <t>PO-831</t>
  </si>
  <si>
    <t>PO-832</t>
  </si>
  <si>
    <t>PO-833</t>
  </si>
  <si>
    <t>PO-834</t>
  </si>
  <si>
    <t>PO-835</t>
  </si>
  <si>
    <t>PO-836</t>
  </si>
  <si>
    <t>PO-837</t>
  </si>
  <si>
    <t>PO-838</t>
  </si>
  <si>
    <t>PO-839</t>
  </si>
  <si>
    <t>PO-840</t>
  </si>
  <si>
    <t>PO-841</t>
  </si>
  <si>
    <t>PO-842</t>
  </si>
  <si>
    <t>PO-843</t>
  </si>
  <si>
    <t>PO-844</t>
  </si>
  <si>
    <t>PO-845</t>
  </si>
  <si>
    <t>PO-846</t>
  </si>
  <si>
    <t>PO-847</t>
  </si>
  <si>
    <t>PO-848</t>
  </si>
  <si>
    <t>PO-849</t>
  </si>
  <si>
    <t>PO-850</t>
  </si>
  <si>
    <t>PO-851</t>
  </si>
  <si>
    <t>PO-852</t>
  </si>
  <si>
    <t>PO-853</t>
  </si>
  <si>
    <t>PO-854</t>
  </si>
  <si>
    <t>PO-855</t>
  </si>
  <si>
    <t>PO-856</t>
  </si>
  <si>
    <t>PO-857</t>
  </si>
  <si>
    <t>PO-858</t>
  </si>
  <si>
    <t>PO-859</t>
  </si>
  <si>
    <t>PO-860</t>
  </si>
  <si>
    <t>PO-861</t>
  </si>
  <si>
    <t>PO-862</t>
  </si>
  <si>
    <t>PO-863</t>
  </si>
  <si>
    <t>PO-864</t>
  </si>
  <si>
    <t>PO-865</t>
  </si>
  <si>
    <t>PO-866</t>
  </si>
  <si>
    <t>PO-867</t>
  </si>
  <si>
    <t>PO-868</t>
  </si>
  <si>
    <t>PO-869</t>
  </si>
  <si>
    <t>PO-870</t>
  </si>
  <si>
    <t>PO-871</t>
  </si>
  <si>
    <t>PO-872</t>
  </si>
  <si>
    <t>PO-873</t>
  </si>
  <si>
    <t>PO-874</t>
  </si>
  <si>
    <t>PO-875</t>
  </si>
  <si>
    <t>PO-876</t>
  </si>
  <si>
    <t>PO-877</t>
  </si>
  <si>
    <t>PO-878</t>
  </si>
  <si>
    <t>PO-879</t>
  </si>
  <si>
    <t>PO-880</t>
  </si>
  <si>
    <t>PO-881</t>
  </si>
  <si>
    <t>PO-882</t>
  </si>
  <si>
    <t>PO-883</t>
  </si>
  <si>
    <t>PO-884</t>
  </si>
  <si>
    <t>PO-885</t>
  </si>
  <si>
    <t>PO-886</t>
  </si>
  <si>
    <t>PO-887</t>
  </si>
  <si>
    <t>PO-888</t>
  </si>
  <si>
    <t>PO-889</t>
  </si>
  <si>
    <t>PO-890</t>
  </si>
  <si>
    <t>PO-891</t>
  </si>
  <si>
    <t>PO-892</t>
  </si>
  <si>
    <t>PO-893</t>
  </si>
  <si>
    <t>PO-894</t>
  </si>
  <si>
    <t>PO-895</t>
  </si>
  <si>
    <t>PO-896</t>
  </si>
  <si>
    <t>PO-897</t>
  </si>
  <si>
    <t>PO-898</t>
  </si>
  <si>
    <t>PO-899</t>
  </si>
  <si>
    <t>PO-900</t>
  </si>
  <si>
    <t>PO-901</t>
  </si>
  <si>
    <t>PO-902</t>
  </si>
  <si>
    <t>PO-903</t>
  </si>
  <si>
    <t>PO-904</t>
  </si>
  <si>
    <t>PO-905</t>
  </si>
  <si>
    <t>PO-906</t>
  </si>
  <si>
    <t>PO-907</t>
  </si>
  <si>
    <t>PO-908</t>
  </si>
  <si>
    <t>PO-909</t>
  </si>
  <si>
    <t>PO-910</t>
  </si>
  <si>
    <t>PO-911</t>
  </si>
  <si>
    <t>PO-912</t>
  </si>
  <si>
    <t>PO-913</t>
  </si>
  <si>
    <t>PO-914</t>
  </si>
  <si>
    <t>PO-915</t>
  </si>
  <si>
    <t>PO-916</t>
  </si>
  <si>
    <t>PO-917</t>
  </si>
  <si>
    <t>PO-918</t>
  </si>
  <si>
    <t>PO-919</t>
  </si>
  <si>
    <t>PO-920</t>
  </si>
  <si>
    <t>PO-921</t>
  </si>
  <si>
    <t>PO-922</t>
  </si>
  <si>
    <t>PO-923</t>
  </si>
  <si>
    <t>PO-924</t>
  </si>
  <si>
    <t>PO-925</t>
  </si>
  <si>
    <t>PO-926</t>
  </si>
  <si>
    <t>PO-927</t>
  </si>
  <si>
    <t>PO-928</t>
  </si>
  <si>
    <t>PO-929</t>
  </si>
  <si>
    <t>PO-930</t>
  </si>
  <si>
    <t>PO-931</t>
  </si>
  <si>
    <t>PO-932</t>
  </si>
  <si>
    <t>PO-933</t>
  </si>
  <si>
    <t>PO-934</t>
  </si>
  <si>
    <t>PO-935</t>
  </si>
  <si>
    <t>PO-936</t>
  </si>
  <si>
    <t>PO-937</t>
  </si>
  <si>
    <t>PO-938</t>
  </si>
  <si>
    <t>PO-939</t>
  </si>
  <si>
    <t>PO-940</t>
  </si>
  <si>
    <t>PO-941</t>
  </si>
  <si>
    <t>PO-942</t>
  </si>
  <si>
    <t>PO-943</t>
  </si>
  <si>
    <t>PO-944</t>
  </si>
  <si>
    <t>PO-945</t>
  </si>
  <si>
    <t>PO-946</t>
  </si>
  <si>
    <t>PO-947</t>
  </si>
  <si>
    <t>PO-948</t>
  </si>
  <si>
    <t>PO-949</t>
  </si>
  <si>
    <t>GRR-2002</t>
  </si>
  <si>
    <t>GRR-2003</t>
  </si>
  <si>
    <t>GRR-2004</t>
  </si>
  <si>
    <t>GRR-2005</t>
  </si>
  <si>
    <t>GRR-2006</t>
  </si>
  <si>
    <t>GRR-2007</t>
  </si>
  <si>
    <t>GRR-2008</t>
  </si>
  <si>
    <t>GRR-2009</t>
  </si>
  <si>
    <t>GRR-2010</t>
  </si>
  <si>
    <t>GRR-2011</t>
  </si>
  <si>
    <t>GRR-2012</t>
  </si>
  <si>
    <t>GRR-2013</t>
  </si>
  <si>
    <t>GRR-2014</t>
  </si>
  <si>
    <t>GRR-2015</t>
  </si>
  <si>
    <t>GRR-2016</t>
  </si>
  <si>
    <t>GRR-2017</t>
  </si>
  <si>
    <t>GRR-2018</t>
  </si>
  <si>
    <t>GRR-2019</t>
  </si>
  <si>
    <t>GRR-2020</t>
  </si>
  <si>
    <t>GRR-2021</t>
  </si>
  <si>
    <t>GRR-2022</t>
  </si>
  <si>
    <t>GRR-2023</t>
  </si>
  <si>
    <t>GRR-2024</t>
  </si>
  <si>
    <t>GRR-2025</t>
  </si>
  <si>
    <t>GRR-2026</t>
  </si>
  <si>
    <t>GRR-2027</t>
  </si>
  <si>
    <t>GRR-2028</t>
  </si>
  <si>
    <t>GRR-2029</t>
  </si>
  <si>
    <t>GRR-2030</t>
  </si>
  <si>
    <t>GRR-2031</t>
  </si>
  <si>
    <t>GRR-2032</t>
  </si>
  <si>
    <t>GRR-2033</t>
  </si>
  <si>
    <t>GRR-2034</t>
  </si>
  <si>
    <t>GRR-2035</t>
  </si>
  <si>
    <t>GRR-2036</t>
  </si>
  <si>
    <t>GRR-2037</t>
  </si>
  <si>
    <t>GRR-2038</t>
  </si>
  <si>
    <t>GRR-2039</t>
  </si>
  <si>
    <t>GRR-2040</t>
  </si>
  <si>
    <t>GRR-2041</t>
  </si>
  <si>
    <t>GRR-2042</t>
  </si>
  <si>
    <t>GRR-2043</t>
  </si>
  <si>
    <t>GRR-2044</t>
  </si>
  <si>
    <t>GRR-2045</t>
  </si>
  <si>
    <t>GRR-2046</t>
  </si>
  <si>
    <t>GRR-2047</t>
  </si>
  <si>
    <t>GRR-2048</t>
  </si>
  <si>
    <t>GRR-2049</t>
  </si>
  <si>
    <t>GRR-2050</t>
  </si>
  <si>
    <t>GRR-2051</t>
  </si>
  <si>
    <t>GRR-2052</t>
  </si>
  <si>
    <t>GRR-2053</t>
  </si>
  <si>
    <t>GRR-2054</t>
  </si>
  <si>
    <t>GRR-2055</t>
  </si>
  <si>
    <t>GRR-2056</t>
  </si>
  <si>
    <t>GRR-2057</t>
  </si>
  <si>
    <t>GRR-2058</t>
  </si>
  <si>
    <t>GRR-2059</t>
  </si>
  <si>
    <t>GRR-2060</t>
  </si>
  <si>
    <t>GRR-2061</t>
  </si>
  <si>
    <t>GRR-2062</t>
  </si>
  <si>
    <t>GRR-2063</t>
  </si>
  <si>
    <t>GRR-2064</t>
  </si>
  <si>
    <t>GRR-2065</t>
  </si>
  <si>
    <t>GRR-2066</t>
  </si>
  <si>
    <t>GRR-2067</t>
  </si>
  <si>
    <t>GRR-2068</t>
  </si>
  <si>
    <t>GRR-2069</t>
  </si>
  <si>
    <t>GRR-2070</t>
  </si>
  <si>
    <t>GRR-2071</t>
  </si>
  <si>
    <t>GRR-2072</t>
  </si>
  <si>
    <t>GRR-2073</t>
  </si>
  <si>
    <t>GRR-2074</t>
  </si>
  <si>
    <t>GRR-2075</t>
  </si>
  <si>
    <t>GRR-2076</t>
  </si>
  <si>
    <t>GRR-2077</t>
  </si>
  <si>
    <t>GRR-2078</t>
  </si>
  <si>
    <t>GRR-2079</t>
  </si>
  <si>
    <t>GRR-2080</t>
  </si>
  <si>
    <t>GRR-2081</t>
  </si>
  <si>
    <t>GRR-2082</t>
  </si>
  <si>
    <t>GRR-2083</t>
  </si>
  <si>
    <t>GRR-2084</t>
  </si>
  <si>
    <t>GRR-2085</t>
  </si>
  <si>
    <t>GRR-2086</t>
  </si>
  <si>
    <t>GRR-2087</t>
  </si>
  <si>
    <t>GRR-2088</t>
  </si>
  <si>
    <t>GRR-2089</t>
  </si>
  <si>
    <t>GRR-2090</t>
  </si>
  <si>
    <t>GRR-2091</t>
  </si>
  <si>
    <t>GRR-2092</t>
  </si>
  <si>
    <t>GRR-2093</t>
  </si>
  <si>
    <t>GRR-2094</t>
  </si>
  <si>
    <t>GRR-2095</t>
  </si>
  <si>
    <t>GRR-2096</t>
  </si>
  <si>
    <t>GRR-2097</t>
  </si>
  <si>
    <t>GRR-2098</t>
  </si>
  <si>
    <t>GRR-2099</t>
  </si>
  <si>
    <t>GRR-2100</t>
  </si>
  <si>
    <t>GRR-2101</t>
  </si>
  <si>
    <t>GRR-2102</t>
  </si>
  <si>
    <t>GRR-2103</t>
  </si>
  <si>
    <t>GRR-2104</t>
  </si>
  <si>
    <t>GRR-2105</t>
  </si>
  <si>
    <t>GRR-2106</t>
  </si>
  <si>
    <t>GRR-2107</t>
  </si>
  <si>
    <t>GRR-2108</t>
  </si>
  <si>
    <t>GRR-2109</t>
  </si>
  <si>
    <t>GRR-2110</t>
  </si>
  <si>
    <t>GRR-2111</t>
  </si>
  <si>
    <t>GRR-2112</t>
  </si>
  <si>
    <t>GRR-2113</t>
  </si>
  <si>
    <t>GRR-2114</t>
  </si>
  <si>
    <t>GRR-2115</t>
  </si>
  <si>
    <t>GRR-2116</t>
  </si>
  <si>
    <t>GRR-2117</t>
  </si>
  <si>
    <t>GRR-2118</t>
  </si>
  <si>
    <t>GRR-2119</t>
  </si>
  <si>
    <t>GRR-2120</t>
  </si>
  <si>
    <t>GRR-2121</t>
  </si>
  <si>
    <t>GRR-2122</t>
  </si>
  <si>
    <t>GRR-2123</t>
  </si>
  <si>
    <t>GRR-2124</t>
  </si>
  <si>
    <t>GRR-2125</t>
  </si>
  <si>
    <t>GRR-2126</t>
  </si>
  <si>
    <t>GRR-2127</t>
  </si>
  <si>
    <t>GRR-2128</t>
  </si>
  <si>
    <t>GRR-2129</t>
  </si>
  <si>
    <t>GRR-2130</t>
  </si>
  <si>
    <t>GRR-2131</t>
  </si>
  <si>
    <t>GRR-2132</t>
  </si>
  <si>
    <t>GRR-2133</t>
  </si>
  <si>
    <t>GRR-2134</t>
  </si>
  <si>
    <t>GRR-2135</t>
  </si>
  <si>
    <t>GRR-2136</t>
  </si>
  <si>
    <t>GRR-2137</t>
  </si>
  <si>
    <t>GRR-2138</t>
  </si>
  <si>
    <t>GRR-2139</t>
  </si>
  <si>
    <t>GRR-2140</t>
  </si>
  <si>
    <t>GRR-2141</t>
  </si>
  <si>
    <t>GRR-2142</t>
  </si>
  <si>
    <t>GRR-2143</t>
  </si>
  <si>
    <t>GRR-2144</t>
  </si>
  <si>
    <t>GRR-2145</t>
  </si>
  <si>
    <t>GRR-2146</t>
  </si>
  <si>
    <t>GRR-2147</t>
  </si>
  <si>
    <t>GRR-2148</t>
  </si>
  <si>
    <t>GRR-2149</t>
  </si>
  <si>
    <t>MIR-502</t>
  </si>
  <si>
    <t>MIR-503</t>
  </si>
  <si>
    <t>MIR-504</t>
  </si>
  <si>
    <t>MIR-505</t>
  </si>
  <si>
    <t>MIR-506</t>
  </si>
  <si>
    <t>MIR-507</t>
  </si>
  <si>
    <t>MIR-508</t>
  </si>
  <si>
    <t>MIR-509</t>
  </si>
  <si>
    <t>MIR-510</t>
  </si>
  <si>
    <t>MIR-511</t>
  </si>
  <si>
    <t>MIR-512</t>
  </si>
  <si>
    <t>MIR-513</t>
  </si>
  <si>
    <t>MIR-514</t>
  </si>
  <si>
    <t>MIR-515</t>
  </si>
  <si>
    <t>MIR-516</t>
  </si>
  <si>
    <t>MIR-517</t>
  </si>
  <si>
    <t>MIR-518</t>
  </si>
  <si>
    <t>MIR-519</t>
  </si>
  <si>
    <t>MIR-520</t>
  </si>
  <si>
    <t>MIR-521</t>
  </si>
  <si>
    <t>MIR-522</t>
  </si>
  <si>
    <t>MIR-523</t>
  </si>
  <si>
    <t>MIR-524</t>
  </si>
  <si>
    <t>MIR-525</t>
  </si>
  <si>
    <t>MIR-526</t>
  </si>
  <si>
    <t>MIR-527</t>
  </si>
  <si>
    <t>MIR-528</t>
  </si>
  <si>
    <t>MIR-529</t>
  </si>
  <si>
    <t>MIR-530</t>
  </si>
  <si>
    <t>MIR-531</t>
  </si>
  <si>
    <t>MIR-532</t>
  </si>
  <si>
    <t>MIR-533</t>
  </si>
  <si>
    <t>MIR-534</t>
  </si>
  <si>
    <t>MIR-535</t>
  </si>
  <si>
    <t>MIR-536</t>
  </si>
  <si>
    <t>MIR-537</t>
  </si>
  <si>
    <t>MIR-538</t>
  </si>
  <si>
    <t>MIR-539</t>
  </si>
  <si>
    <t>MIR-540</t>
  </si>
  <si>
    <t>MIR-541</t>
  </si>
  <si>
    <t>MIR-542</t>
  </si>
  <si>
    <t>MIR-543</t>
  </si>
  <si>
    <t>MIR-544</t>
  </si>
  <si>
    <t>MIR-545</t>
  </si>
  <si>
    <t>MIR-546</t>
  </si>
  <si>
    <t>MIR-547</t>
  </si>
  <si>
    <t>MIR-548</t>
  </si>
  <si>
    <t>MIR-549</t>
  </si>
  <si>
    <t>MIR-550</t>
  </si>
  <si>
    <t>MIR-551</t>
  </si>
  <si>
    <t>MIR-552</t>
  </si>
  <si>
    <t>MIR-553</t>
  </si>
  <si>
    <t>MIR-554</t>
  </si>
  <si>
    <t>MIR-555</t>
  </si>
  <si>
    <t>MIR-556</t>
  </si>
  <si>
    <t>MIR-557</t>
  </si>
  <si>
    <t>MIR-558</t>
  </si>
  <si>
    <t>MIR-559</t>
  </si>
  <si>
    <t>MIR-560</t>
  </si>
  <si>
    <t>MIR-561</t>
  </si>
  <si>
    <t>MIR-562</t>
  </si>
  <si>
    <t>MIR-563</t>
  </si>
  <si>
    <t>MIR-564</t>
  </si>
  <si>
    <t>MIR-565</t>
  </si>
  <si>
    <t>MIR-566</t>
  </si>
  <si>
    <t>MIR-567</t>
  </si>
  <si>
    <t>MIR-568</t>
  </si>
  <si>
    <t>MIR-569</t>
  </si>
  <si>
    <t>MIR-570</t>
  </si>
  <si>
    <t>MIR-571</t>
  </si>
  <si>
    <t>MIR-572</t>
  </si>
  <si>
    <t>MIR-573</t>
  </si>
  <si>
    <t>MIR-574</t>
  </si>
  <si>
    <t>MIR-575</t>
  </si>
  <si>
    <t>MIR-576</t>
  </si>
  <si>
    <t>MIR-577</t>
  </si>
  <si>
    <t>MIR-578</t>
  </si>
  <si>
    <t>MIR-579</t>
  </si>
  <si>
    <t>MIR-580</t>
  </si>
  <si>
    <t>MIR-581</t>
  </si>
  <si>
    <t>MIR-582</t>
  </si>
  <si>
    <t>MIR-583</t>
  </si>
  <si>
    <t>MIR-584</t>
  </si>
  <si>
    <t>MIR-585</t>
  </si>
  <si>
    <t>MIR-586</t>
  </si>
  <si>
    <t>MIR-587</t>
  </si>
  <si>
    <t>MIR-588</t>
  </si>
  <si>
    <t>MIR-589</t>
  </si>
  <si>
    <t>MIR-590</t>
  </si>
  <si>
    <t>MIR-591</t>
  </si>
  <si>
    <t>MIR-592</t>
  </si>
  <si>
    <t>MIR-593</t>
  </si>
  <si>
    <t>MIR-594</t>
  </si>
  <si>
    <t>MIR-595</t>
  </si>
  <si>
    <t>MIR-596</t>
  </si>
  <si>
    <t>MIR-597</t>
  </si>
  <si>
    <t>MIR-598</t>
  </si>
  <si>
    <t>MIR-599</t>
  </si>
  <si>
    <t>MIR-600</t>
  </si>
  <si>
    <t>MIR-601</t>
  </si>
  <si>
    <t>MIR-602</t>
  </si>
  <si>
    <t>MIR-603</t>
  </si>
  <si>
    <t>MIR-604</t>
  </si>
  <si>
    <t>MIR-605</t>
  </si>
  <si>
    <t>MIR-606</t>
  </si>
  <si>
    <t>MIR-607</t>
  </si>
  <si>
    <t>MIR-608</t>
  </si>
  <si>
    <t>MIR-609</t>
  </si>
  <si>
    <t>MIR-610</t>
  </si>
  <si>
    <t>MIR-611</t>
  </si>
  <si>
    <t>MIR-612</t>
  </si>
  <si>
    <t>MIR-613</t>
  </si>
  <si>
    <t>MIR-614</t>
  </si>
  <si>
    <t>MIR-615</t>
  </si>
  <si>
    <t>MIR-616</t>
  </si>
  <si>
    <t>MIR-617</t>
  </si>
  <si>
    <t>MIR-618</t>
  </si>
  <si>
    <t>MIR-619</t>
  </si>
  <si>
    <t>MIR-620</t>
  </si>
  <si>
    <t>MIR-621</t>
  </si>
  <si>
    <t>MIR-622</t>
  </si>
  <si>
    <t>MIR-623</t>
  </si>
  <si>
    <t>MIR-624</t>
  </si>
  <si>
    <t>MIR-625</t>
  </si>
  <si>
    <t>MIR-626</t>
  </si>
  <si>
    <t>MIR-627</t>
  </si>
  <si>
    <t>MIR-628</t>
  </si>
  <si>
    <t>MIR-629</t>
  </si>
  <si>
    <t>MIR-630</t>
  </si>
  <si>
    <t>MIR-631</t>
  </si>
  <si>
    <t>MIR-632</t>
  </si>
  <si>
    <t>MIR-633</t>
  </si>
  <si>
    <t>MIR-634</t>
  </si>
  <si>
    <t>MIR-635</t>
  </si>
  <si>
    <t>MIR-636</t>
  </si>
  <si>
    <t>MIR-637</t>
  </si>
  <si>
    <t>MIR-638</t>
  </si>
  <si>
    <t>MIR-639</t>
  </si>
  <si>
    <t>MIR-640</t>
  </si>
  <si>
    <t>MIR-641</t>
  </si>
  <si>
    <t>MIR-642</t>
  </si>
  <si>
    <t>MIR-643</t>
  </si>
  <si>
    <t>MIR-644</t>
  </si>
  <si>
    <t>MIR-645</t>
  </si>
  <si>
    <t>MIR-646</t>
  </si>
  <si>
    <t>MIR-647</t>
  </si>
  <si>
    <t>MIR-648</t>
  </si>
  <si>
    <t>MIR-649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</si>
</sst>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2AD9-6DD1-4506-8AB3-E3EF61CA1125}">
  <dimension ref="A1:G150"/>
  <sheetViews>
    <sheetView tabSelected="1" topLeftCell="A100" workbookViewId="0">
      <selection activeCell="G2" sqref="G2:G150"/>
    </sheetView>
  </sheetViews>
  <sheetFormatPr defaultRowHeight="14.4" x14ac:dyDescent="0.3"/>
  <cols>
    <col min="2" max="2" width="11.6640625" customWidth="1"/>
    <col min="3" max="3" width="29.6640625" bestFit="1" customWidth="1"/>
    <col min="4" max="4" width="13.6640625" customWidth="1"/>
    <col min="6" max="6" width="12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t="str">
        <f>IF(A2&lt;=1200, "Raw Material", "Finished Part")</f>
        <v>Raw Material</v>
      </c>
      <c r="C2" t="str">
        <f>IF(B2="Raw Material", "Industrial Raw Material Grade-" &amp; A2, "Precision Component Model-" &amp; A2)</f>
        <v>Industrial Raw Material Grade-1001</v>
      </c>
      <c r="D2" t="str">
        <f>IF(B2="Raw Material", "Kg", "Pieces")</f>
        <v>Kg</v>
      </c>
      <c r="E2">
        <f ca="1">RANDBETWEEN(50, 450)</f>
        <v>195</v>
      </c>
      <c r="F2">
        <f ca="1">RANDBETWEEN(300, 1500)</f>
        <v>918</v>
      </c>
      <c r="G2">
        <f ca="1">RANDBETWEEN(20, 150)</f>
        <v>34</v>
      </c>
    </row>
    <row r="3" spans="1:7" ht="12" customHeight="1" x14ac:dyDescent="0.3">
      <c r="A3">
        <v>1002</v>
      </c>
      <c r="B3" t="str">
        <f t="shared" ref="B3:B66" si="0">IF(A3&lt;=1200, "Raw Material", "Finished Part")</f>
        <v>Raw Material</v>
      </c>
      <c r="C3" t="str">
        <f t="shared" ref="C3:C66" si="1">IF(B3="Raw Material", "Industrial Raw Material Grade-" &amp; A3, "Precision Component Model-" &amp; A3)</f>
        <v>Industrial Raw Material Grade-1002</v>
      </c>
      <c r="D3" t="str">
        <f t="shared" ref="D3:D66" si="2">IF(B3="Raw Material", "Kg", "Pieces")</f>
        <v>Kg</v>
      </c>
      <c r="E3">
        <f t="shared" ref="E3:E66" ca="1" si="3">RANDBETWEEN(50, 450)</f>
        <v>269</v>
      </c>
      <c r="F3">
        <f t="shared" ref="F3:F66" ca="1" si="4">RANDBETWEEN(300, 1500)</f>
        <v>1028</v>
      </c>
      <c r="G3">
        <f t="shared" ref="G3:G66" ca="1" si="5">RANDBETWEEN(20, 150)</f>
        <v>137</v>
      </c>
    </row>
    <row r="4" spans="1:7" x14ac:dyDescent="0.3">
      <c r="A4">
        <v>1003</v>
      </c>
      <c r="B4" t="str">
        <f t="shared" si="0"/>
        <v>Raw Material</v>
      </c>
      <c r="C4" t="str">
        <f t="shared" si="1"/>
        <v>Industrial Raw Material Grade-1003</v>
      </c>
      <c r="D4" t="str">
        <f t="shared" si="2"/>
        <v>Kg</v>
      </c>
      <c r="E4">
        <f t="shared" ca="1" si="3"/>
        <v>117</v>
      </c>
      <c r="F4">
        <f t="shared" ca="1" si="4"/>
        <v>776</v>
      </c>
      <c r="G4">
        <f t="shared" ca="1" si="5"/>
        <v>44</v>
      </c>
    </row>
    <row r="5" spans="1:7" x14ac:dyDescent="0.3">
      <c r="A5">
        <v>1004</v>
      </c>
      <c r="B5" t="str">
        <f t="shared" si="0"/>
        <v>Raw Material</v>
      </c>
      <c r="C5" t="str">
        <f t="shared" si="1"/>
        <v>Industrial Raw Material Grade-1004</v>
      </c>
      <c r="D5" t="str">
        <f t="shared" si="2"/>
        <v>Kg</v>
      </c>
      <c r="E5">
        <f t="shared" ca="1" si="3"/>
        <v>290</v>
      </c>
      <c r="F5">
        <f t="shared" ca="1" si="4"/>
        <v>636</v>
      </c>
      <c r="G5">
        <f t="shared" ca="1" si="5"/>
        <v>111</v>
      </c>
    </row>
    <row r="6" spans="1:7" x14ac:dyDescent="0.3">
      <c r="A6">
        <v>1005</v>
      </c>
      <c r="B6" t="str">
        <f t="shared" si="0"/>
        <v>Raw Material</v>
      </c>
      <c r="C6" t="str">
        <f t="shared" si="1"/>
        <v>Industrial Raw Material Grade-1005</v>
      </c>
      <c r="D6" t="str">
        <f t="shared" si="2"/>
        <v>Kg</v>
      </c>
      <c r="E6">
        <f t="shared" ca="1" si="3"/>
        <v>407</v>
      </c>
      <c r="F6">
        <f t="shared" ca="1" si="4"/>
        <v>1338</v>
      </c>
      <c r="G6">
        <f t="shared" ca="1" si="5"/>
        <v>40</v>
      </c>
    </row>
    <row r="7" spans="1:7" x14ac:dyDescent="0.3">
      <c r="A7">
        <v>1006</v>
      </c>
      <c r="B7" t="str">
        <f t="shared" si="0"/>
        <v>Raw Material</v>
      </c>
      <c r="C7" t="str">
        <f t="shared" si="1"/>
        <v>Industrial Raw Material Grade-1006</v>
      </c>
      <c r="D7" t="str">
        <f t="shared" si="2"/>
        <v>Kg</v>
      </c>
      <c r="E7">
        <f t="shared" ca="1" si="3"/>
        <v>127</v>
      </c>
      <c r="F7">
        <f t="shared" ca="1" si="4"/>
        <v>606</v>
      </c>
      <c r="G7">
        <f t="shared" ca="1" si="5"/>
        <v>54</v>
      </c>
    </row>
    <row r="8" spans="1:7" x14ac:dyDescent="0.3">
      <c r="A8">
        <v>1007</v>
      </c>
      <c r="B8" t="str">
        <f t="shared" si="0"/>
        <v>Raw Material</v>
      </c>
      <c r="C8" t="str">
        <f t="shared" si="1"/>
        <v>Industrial Raw Material Grade-1007</v>
      </c>
      <c r="D8" t="str">
        <f t="shared" si="2"/>
        <v>Kg</v>
      </c>
      <c r="E8">
        <f t="shared" ca="1" si="3"/>
        <v>306</v>
      </c>
      <c r="F8">
        <f t="shared" ca="1" si="4"/>
        <v>1190</v>
      </c>
      <c r="G8">
        <f t="shared" ca="1" si="5"/>
        <v>69</v>
      </c>
    </row>
    <row r="9" spans="1:7" x14ac:dyDescent="0.3">
      <c r="A9">
        <v>1008</v>
      </c>
      <c r="B9" t="str">
        <f t="shared" si="0"/>
        <v>Raw Material</v>
      </c>
      <c r="C9" t="str">
        <f t="shared" si="1"/>
        <v>Industrial Raw Material Grade-1008</v>
      </c>
      <c r="D9" t="str">
        <f t="shared" si="2"/>
        <v>Kg</v>
      </c>
      <c r="E9">
        <f t="shared" ca="1" si="3"/>
        <v>232</v>
      </c>
      <c r="F9">
        <f t="shared" ca="1" si="4"/>
        <v>453</v>
      </c>
      <c r="G9">
        <f t="shared" ca="1" si="5"/>
        <v>129</v>
      </c>
    </row>
    <row r="10" spans="1:7" x14ac:dyDescent="0.3">
      <c r="A10">
        <v>1009</v>
      </c>
      <c r="B10" t="str">
        <f t="shared" si="0"/>
        <v>Raw Material</v>
      </c>
      <c r="C10" t="str">
        <f t="shared" si="1"/>
        <v>Industrial Raw Material Grade-1009</v>
      </c>
      <c r="D10" t="str">
        <f t="shared" si="2"/>
        <v>Kg</v>
      </c>
      <c r="E10">
        <f t="shared" ca="1" si="3"/>
        <v>355</v>
      </c>
      <c r="F10">
        <f t="shared" ca="1" si="4"/>
        <v>531</v>
      </c>
      <c r="G10">
        <f t="shared" ca="1" si="5"/>
        <v>145</v>
      </c>
    </row>
    <row r="11" spans="1:7" x14ac:dyDescent="0.3">
      <c r="A11">
        <v>1010</v>
      </c>
      <c r="B11" t="str">
        <f>IF(A12&lt;=1200, "Raw Material", "Finished Part")</f>
        <v>Raw Material</v>
      </c>
      <c r="C11" t="str">
        <f t="shared" si="1"/>
        <v>Industrial Raw Material Grade-1010</v>
      </c>
      <c r="D11" t="str">
        <f t="shared" si="2"/>
        <v>Kg</v>
      </c>
      <c r="E11">
        <f t="shared" ca="1" si="3"/>
        <v>187</v>
      </c>
      <c r="F11">
        <f t="shared" ca="1" si="4"/>
        <v>1060</v>
      </c>
      <c r="G11">
        <f t="shared" ca="1" si="5"/>
        <v>67</v>
      </c>
    </row>
    <row r="12" spans="1:7" x14ac:dyDescent="0.3">
      <c r="A12">
        <v>1011</v>
      </c>
      <c r="B12" t="s">
        <v>7</v>
      </c>
      <c r="C12" t="str">
        <f t="shared" si="1"/>
        <v>Industrial Raw Material Grade-1011</v>
      </c>
      <c r="D12" t="str">
        <f t="shared" si="2"/>
        <v>Kg</v>
      </c>
      <c r="E12">
        <f t="shared" ca="1" si="3"/>
        <v>177</v>
      </c>
      <c r="F12">
        <f t="shared" ca="1" si="4"/>
        <v>1125</v>
      </c>
      <c r="G12">
        <f t="shared" ca="1" si="5"/>
        <v>93</v>
      </c>
    </row>
    <row r="13" spans="1:7" x14ac:dyDescent="0.3">
      <c r="A13">
        <v>1012</v>
      </c>
      <c r="B13" t="str">
        <f t="shared" si="0"/>
        <v>Raw Material</v>
      </c>
      <c r="C13" t="str">
        <f t="shared" si="1"/>
        <v>Industrial Raw Material Grade-1012</v>
      </c>
      <c r="D13" t="str">
        <f t="shared" si="2"/>
        <v>Kg</v>
      </c>
      <c r="E13">
        <f t="shared" ca="1" si="3"/>
        <v>180</v>
      </c>
      <c r="F13">
        <f t="shared" ca="1" si="4"/>
        <v>1297</v>
      </c>
      <c r="G13">
        <f t="shared" ca="1" si="5"/>
        <v>24</v>
      </c>
    </row>
    <row r="14" spans="1:7" x14ac:dyDescent="0.3">
      <c r="A14">
        <v>1013</v>
      </c>
      <c r="B14" t="str">
        <f t="shared" si="0"/>
        <v>Raw Material</v>
      </c>
      <c r="C14" t="str">
        <f t="shared" si="1"/>
        <v>Industrial Raw Material Grade-1013</v>
      </c>
      <c r="D14" t="str">
        <f t="shared" si="2"/>
        <v>Kg</v>
      </c>
      <c r="E14">
        <f t="shared" ca="1" si="3"/>
        <v>419</v>
      </c>
      <c r="F14">
        <f t="shared" ca="1" si="4"/>
        <v>705</v>
      </c>
      <c r="G14">
        <f t="shared" ca="1" si="5"/>
        <v>75</v>
      </c>
    </row>
    <row r="15" spans="1:7" x14ac:dyDescent="0.3">
      <c r="A15">
        <v>1014</v>
      </c>
      <c r="B15" t="str">
        <f t="shared" si="0"/>
        <v>Raw Material</v>
      </c>
      <c r="C15" t="str">
        <f t="shared" si="1"/>
        <v>Industrial Raw Material Grade-1014</v>
      </c>
      <c r="D15" t="str">
        <f t="shared" si="2"/>
        <v>Kg</v>
      </c>
      <c r="E15">
        <f t="shared" ca="1" si="3"/>
        <v>225</v>
      </c>
      <c r="F15">
        <f t="shared" ca="1" si="4"/>
        <v>1180</v>
      </c>
      <c r="G15">
        <f t="shared" ca="1" si="5"/>
        <v>95</v>
      </c>
    </row>
    <row r="16" spans="1:7" x14ac:dyDescent="0.3">
      <c r="A16">
        <v>1015</v>
      </c>
      <c r="B16" t="str">
        <f t="shared" si="0"/>
        <v>Raw Material</v>
      </c>
      <c r="C16" t="str">
        <f t="shared" si="1"/>
        <v>Industrial Raw Material Grade-1015</v>
      </c>
      <c r="D16" t="str">
        <f t="shared" si="2"/>
        <v>Kg</v>
      </c>
      <c r="E16">
        <f t="shared" ca="1" si="3"/>
        <v>284</v>
      </c>
      <c r="F16">
        <f t="shared" ca="1" si="4"/>
        <v>681</v>
      </c>
      <c r="G16">
        <f t="shared" ca="1" si="5"/>
        <v>117</v>
      </c>
    </row>
    <row r="17" spans="1:7" x14ac:dyDescent="0.3">
      <c r="A17">
        <v>1016</v>
      </c>
      <c r="B17" t="str">
        <f t="shared" si="0"/>
        <v>Raw Material</v>
      </c>
      <c r="C17" t="str">
        <f t="shared" si="1"/>
        <v>Industrial Raw Material Grade-1016</v>
      </c>
      <c r="D17" t="str">
        <f t="shared" si="2"/>
        <v>Kg</v>
      </c>
      <c r="E17">
        <f t="shared" ca="1" si="3"/>
        <v>271</v>
      </c>
      <c r="F17">
        <f t="shared" ca="1" si="4"/>
        <v>1295</v>
      </c>
      <c r="G17">
        <f t="shared" ca="1" si="5"/>
        <v>28</v>
      </c>
    </row>
    <row r="18" spans="1:7" x14ac:dyDescent="0.3">
      <c r="A18">
        <v>1017</v>
      </c>
      <c r="B18" t="str">
        <f t="shared" si="0"/>
        <v>Raw Material</v>
      </c>
      <c r="C18" t="str">
        <f t="shared" si="1"/>
        <v>Industrial Raw Material Grade-1017</v>
      </c>
      <c r="D18" t="str">
        <f t="shared" si="2"/>
        <v>Kg</v>
      </c>
      <c r="E18">
        <f t="shared" ca="1" si="3"/>
        <v>256</v>
      </c>
      <c r="F18">
        <f t="shared" ca="1" si="4"/>
        <v>905</v>
      </c>
      <c r="G18">
        <f t="shared" ca="1" si="5"/>
        <v>108</v>
      </c>
    </row>
    <row r="19" spans="1:7" x14ac:dyDescent="0.3">
      <c r="A19">
        <v>1018</v>
      </c>
      <c r="B19" t="str">
        <f t="shared" si="0"/>
        <v>Raw Material</v>
      </c>
      <c r="C19" t="str">
        <f t="shared" si="1"/>
        <v>Industrial Raw Material Grade-1018</v>
      </c>
      <c r="D19" t="str">
        <f t="shared" si="2"/>
        <v>Kg</v>
      </c>
      <c r="E19">
        <f t="shared" ca="1" si="3"/>
        <v>165</v>
      </c>
      <c r="F19">
        <f t="shared" ca="1" si="4"/>
        <v>689</v>
      </c>
      <c r="G19">
        <f t="shared" ca="1" si="5"/>
        <v>112</v>
      </c>
    </row>
    <row r="20" spans="1:7" x14ac:dyDescent="0.3">
      <c r="A20">
        <v>1019</v>
      </c>
      <c r="B20" t="str">
        <f t="shared" si="0"/>
        <v>Raw Material</v>
      </c>
      <c r="C20" t="str">
        <f t="shared" si="1"/>
        <v>Industrial Raw Material Grade-1019</v>
      </c>
      <c r="D20" t="str">
        <f t="shared" si="2"/>
        <v>Kg</v>
      </c>
      <c r="E20">
        <f t="shared" ca="1" si="3"/>
        <v>223</v>
      </c>
      <c r="F20">
        <f t="shared" ca="1" si="4"/>
        <v>661</v>
      </c>
      <c r="G20">
        <f t="shared" ca="1" si="5"/>
        <v>142</v>
      </c>
    </row>
    <row r="21" spans="1:7" x14ac:dyDescent="0.3">
      <c r="A21">
        <v>1020</v>
      </c>
      <c r="B21" t="str">
        <f t="shared" si="0"/>
        <v>Raw Material</v>
      </c>
      <c r="C21" t="str">
        <f t="shared" si="1"/>
        <v>Industrial Raw Material Grade-1020</v>
      </c>
      <c r="D21" t="str">
        <f t="shared" si="2"/>
        <v>Kg</v>
      </c>
      <c r="E21">
        <f t="shared" ca="1" si="3"/>
        <v>259</v>
      </c>
      <c r="F21">
        <f t="shared" ca="1" si="4"/>
        <v>324</v>
      </c>
      <c r="G21">
        <f t="shared" ca="1" si="5"/>
        <v>43</v>
      </c>
    </row>
    <row r="22" spans="1:7" x14ac:dyDescent="0.3">
      <c r="A22">
        <v>1021</v>
      </c>
      <c r="B22" t="str">
        <f t="shared" si="0"/>
        <v>Raw Material</v>
      </c>
      <c r="C22" t="str">
        <f t="shared" si="1"/>
        <v>Industrial Raw Material Grade-1021</v>
      </c>
      <c r="D22" t="str">
        <f t="shared" si="2"/>
        <v>Kg</v>
      </c>
      <c r="E22">
        <f t="shared" ca="1" si="3"/>
        <v>281</v>
      </c>
      <c r="F22">
        <f t="shared" ca="1" si="4"/>
        <v>524</v>
      </c>
      <c r="G22">
        <f t="shared" ca="1" si="5"/>
        <v>42</v>
      </c>
    </row>
    <row r="23" spans="1:7" x14ac:dyDescent="0.3">
      <c r="A23">
        <v>1022</v>
      </c>
      <c r="B23" t="str">
        <f t="shared" si="0"/>
        <v>Raw Material</v>
      </c>
      <c r="C23" t="str">
        <f t="shared" si="1"/>
        <v>Industrial Raw Material Grade-1022</v>
      </c>
      <c r="D23" t="str">
        <f t="shared" si="2"/>
        <v>Kg</v>
      </c>
      <c r="E23">
        <f t="shared" ca="1" si="3"/>
        <v>161</v>
      </c>
      <c r="F23">
        <f t="shared" ca="1" si="4"/>
        <v>1409</v>
      </c>
      <c r="G23">
        <f t="shared" ca="1" si="5"/>
        <v>79</v>
      </c>
    </row>
    <row r="24" spans="1:7" x14ac:dyDescent="0.3">
      <c r="A24">
        <v>1023</v>
      </c>
      <c r="B24" t="str">
        <f t="shared" si="0"/>
        <v>Raw Material</v>
      </c>
      <c r="C24" t="str">
        <f t="shared" si="1"/>
        <v>Industrial Raw Material Grade-1023</v>
      </c>
      <c r="D24" t="str">
        <f t="shared" si="2"/>
        <v>Kg</v>
      </c>
      <c r="E24">
        <f t="shared" ca="1" si="3"/>
        <v>224</v>
      </c>
      <c r="F24">
        <f t="shared" ca="1" si="4"/>
        <v>463</v>
      </c>
      <c r="G24">
        <f t="shared" ca="1" si="5"/>
        <v>56</v>
      </c>
    </row>
    <row r="25" spans="1:7" x14ac:dyDescent="0.3">
      <c r="A25">
        <v>1024</v>
      </c>
      <c r="B25" t="str">
        <f t="shared" si="0"/>
        <v>Raw Material</v>
      </c>
      <c r="C25" t="str">
        <f t="shared" si="1"/>
        <v>Industrial Raw Material Grade-1024</v>
      </c>
      <c r="D25" t="str">
        <f t="shared" si="2"/>
        <v>Kg</v>
      </c>
      <c r="E25">
        <f t="shared" ca="1" si="3"/>
        <v>281</v>
      </c>
      <c r="F25">
        <f t="shared" ca="1" si="4"/>
        <v>429</v>
      </c>
      <c r="G25">
        <f t="shared" ca="1" si="5"/>
        <v>73</v>
      </c>
    </row>
    <row r="26" spans="1:7" x14ac:dyDescent="0.3">
      <c r="A26">
        <v>1025</v>
      </c>
      <c r="B26" t="str">
        <f t="shared" si="0"/>
        <v>Raw Material</v>
      </c>
      <c r="C26" t="str">
        <f t="shared" si="1"/>
        <v>Industrial Raw Material Grade-1025</v>
      </c>
      <c r="D26" t="str">
        <f t="shared" si="2"/>
        <v>Kg</v>
      </c>
      <c r="E26">
        <f t="shared" ca="1" si="3"/>
        <v>222</v>
      </c>
      <c r="F26">
        <f t="shared" ca="1" si="4"/>
        <v>1058</v>
      </c>
      <c r="G26">
        <f t="shared" ca="1" si="5"/>
        <v>27</v>
      </c>
    </row>
    <row r="27" spans="1:7" x14ac:dyDescent="0.3">
      <c r="A27">
        <v>1026</v>
      </c>
      <c r="B27" t="str">
        <f t="shared" si="0"/>
        <v>Raw Material</v>
      </c>
      <c r="C27" t="str">
        <f t="shared" si="1"/>
        <v>Industrial Raw Material Grade-1026</v>
      </c>
      <c r="D27" t="str">
        <f t="shared" si="2"/>
        <v>Kg</v>
      </c>
      <c r="E27">
        <f t="shared" ca="1" si="3"/>
        <v>298</v>
      </c>
      <c r="F27">
        <f t="shared" ca="1" si="4"/>
        <v>1245</v>
      </c>
      <c r="G27">
        <f t="shared" ca="1" si="5"/>
        <v>92</v>
      </c>
    </row>
    <row r="28" spans="1:7" x14ac:dyDescent="0.3">
      <c r="A28">
        <v>1027</v>
      </c>
      <c r="B28" t="str">
        <f t="shared" si="0"/>
        <v>Raw Material</v>
      </c>
      <c r="C28" t="str">
        <f t="shared" si="1"/>
        <v>Industrial Raw Material Grade-1027</v>
      </c>
      <c r="D28" t="str">
        <f t="shared" si="2"/>
        <v>Kg</v>
      </c>
      <c r="E28">
        <f t="shared" ca="1" si="3"/>
        <v>200</v>
      </c>
      <c r="F28">
        <f t="shared" ca="1" si="4"/>
        <v>780</v>
      </c>
      <c r="G28">
        <f t="shared" ca="1" si="5"/>
        <v>45</v>
      </c>
    </row>
    <row r="29" spans="1:7" x14ac:dyDescent="0.3">
      <c r="A29">
        <v>1028</v>
      </c>
      <c r="B29" t="str">
        <f t="shared" si="0"/>
        <v>Raw Material</v>
      </c>
      <c r="C29" t="str">
        <f t="shared" si="1"/>
        <v>Industrial Raw Material Grade-1028</v>
      </c>
      <c r="D29" t="str">
        <f t="shared" si="2"/>
        <v>Kg</v>
      </c>
      <c r="E29">
        <f t="shared" ca="1" si="3"/>
        <v>102</v>
      </c>
      <c r="F29">
        <f t="shared" ca="1" si="4"/>
        <v>523</v>
      </c>
      <c r="G29">
        <f t="shared" ca="1" si="5"/>
        <v>42</v>
      </c>
    </row>
    <row r="30" spans="1:7" x14ac:dyDescent="0.3">
      <c r="A30">
        <v>1029</v>
      </c>
      <c r="B30" t="str">
        <f t="shared" si="0"/>
        <v>Raw Material</v>
      </c>
      <c r="C30" t="str">
        <f t="shared" si="1"/>
        <v>Industrial Raw Material Grade-1029</v>
      </c>
      <c r="D30" t="str">
        <f t="shared" si="2"/>
        <v>Kg</v>
      </c>
      <c r="E30">
        <f t="shared" ca="1" si="3"/>
        <v>262</v>
      </c>
      <c r="F30">
        <f t="shared" ca="1" si="4"/>
        <v>1278</v>
      </c>
      <c r="G30">
        <f t="shared" ca="1" si="5"/>
        <v>103</v>
      </c>
    </row>
    <row r="31" spans="1:7" x14ac:dyDescent="0.3">
      <c r="A31">
        <v>1030</v>
      </c>
      <c r="B31" t="str">
        <f t="shared" si="0"/>
        <v>Raw Material</v>
      </c>
      <c r="C31" t="str">
        <f t="shared" si="1"/>
        <v>Industrial Raw Material Grade-1030</v>
      </c>
      <c r="D31" t="str">
        <f t="shared" si="2"/>
        <v>Kg</v>
      </c>
      <c r="E31">
        <f t="shared" ca="1" si="3"/>
        <v>243</v>
      </c>
      <c r="F31">
        <f t="shared" ca="1" si="4"/>
        <v>569</v>
      </c>
      <c r="G31">
        <f t="shared" ca="1" si="5"/>
        <v>84</v>
      </c>
    </row>
    <row r="32" spans="1:7" x14ac:dyDescent="0.3">
      <c r="A32">
        <v>1031</v>
      </c>
      <c r="B32" t="str">
        <f t="shared" si="0"/>
        <v>Raw Material</v>
      </c>
      <c r="C32" t="str">
        <f t="shared" si="1"/>
        <v>Industrial Raw Material Grade-1031</v>
      </c>
      <c r="D32" t="str">
        <f t="shared" si="2"/>
        <v>Kg</v>
      </c>
      <c r="E32">
        <f t="shared" ca="1" si="3"/>
        <v>435</v>
      </c>
      <c r="F32">
        <f t="shared" ca="1" si="4"/>
        <v>456</v>
      </c>
      <c r="G32">
        <f t="shared" ca="1" si="5"/>
        <v>68</v>
      </c>
    </row>
    <row r="33" spans="1:7" x14ac:dyDescent="0.3">
      <c r="A33">
        <v>1032</v>
      </c>
      <c r="B33" t="str">
        <f t="shared" si="0"/>
        <v>Raw Material</v>
      </c>
      <c r="C33" t="str">
        <f t="shared" si="1"/>
        <v>Industrial Raw Material Grade-1032</v>
      </c>
      <c r="D33" t="str">
        <f t="shared" si="2"/>
        <v>Kg</v>
      </c>
      <c r="E33">
        <f t="shared" ca="1" si="3"/>
        <v>121</v>
      </c>
      <c r="F33">
        <f t="shared" ca="1" si="4"/>
        <v>595</v>
      </c>
      <c r="G33">
        <f t="shared" ca="1" si="5"/>
        <v>54</v>
      </c>
    </row>
    <row r="34" spans="1:7" x14ac:dyDescent="0.3">
      <c r="A34">
        <v>1033</v>
      </c>
      <c r="B34" t="str">
        <f t="shared" si="0"/>
        <v>Raw Material</v>
      </c>
      <c r="C34" t="str">
        <f t="shared" si="1"/>
        <v>Industrial Raw Material Grade-1033</v>
      </c>
      <c r="D34" t="str">
        <f t="shared" si="2"/>
        <v>Kg</v>
      </c>
      <c r="E34">
        <f t="shared" ca="1" si="3"/>
        <v>55</v>
      </c>
      <c r="F34">
        <f t="shared" ca="1" si="4"/>
        <v>815</v>
      </c>
      <c r="G34">
        <f t="shared" ca="1" si="5"/>
        <v>66</v>
      </c>
    </row>
    <row r="35" spans="1:7" x14ac:dyDescent="0.3">
      <c r="A35">
        <v>1034</v>
      </c>
      <c r="B35" t="str">
        <f t="shared" si="0"/>
        <v>Raw Material</v>
      </c>
      <c r="C35" t="str">
        <f t="shared" si="1"/>
        <v>Industrial Raw Material Grade-1034</v>
      </c>
      <c r="D35" t="str">
        <f t="shared" si="2"/>
        <v>Kg</v>
      </c>
      <c r="E35">
        <f t="shared" ca="1" si="3"/>
        <v>350</v>
      </c>
      <c r="F35">
        <f t="shared" ca="1" si="4"/>
        <v>670</v>
      </c>
      <c r="G35">
        <f t="shared" ca="1" si="5"/>
        <v>113</v>
      </c>
    </row>
    <row r="36" spans="1:7" x14ac:dyDescent="0.3">
      <c r="A36">
        <v>1035</v>
      </c>
      <c r="B36" t="str">
        <f t="shared" si="0"/>
        <v>Raw Material</v>
      </c>
      <c r="C36" t="str">
        <f t="shared" si="1"/>
        <v>Industrial Raw Material Grade-1035</v>
      </c>
      <c r="D36" t="str">
        <f t="shared" si="2"/>
        <v>Kg</v>
      </c>
      <c r="E36">
        <f t="shared" ca="1" si="3"/>
        <v>445</v>
      </c>
      <c r="F36">
        <f t="shared" ca="1" si="4"/>
        <v>345</v>
      </c>
      <c r="G36">
        <f t="shared" ca="1" si="5"/>
        <v>142</v>
      </c>
    </row>
    <row r="37" spans="1:7" x14ac:dyDescent="0.3">
      <c r="A37">
        <v>1036</v>
      </c>
      <c r="B37" t="str">
        <f t="shared" si="0"/>
        <v>Raw Material</v>
      </c>
      <c r="C37" t="str">
        <f t="shared" si="1"/>
        <v>Industrial Raw Material Grade-1036</v>
      </c>
      <c r="D37" t="str">
        <f t="shared" si="2"/>
        <v>Kg</v>
      </c>
      <c r="E37">
        <f t="shared" ca="1" si="3"/>
        <v>359</v>
      </c>
      <c r="F37">
        <f t="shared" ca="1" si="4"/>
        <v>467</v>
      </c>
      <c r="G37">
        <f t="shared" ca="1" si="5"/>
        <v>31</v>
      </c>
    </row>
    <row r="38" spans="1:7" x14ac:dyDescent="0.3">
      <c r="A38">
        <v>1037</v>
      </c>
      <c r="B38" t="str">
        <f t="shared" si="0"/>
        <v>Raw Material</v>
      </c>
      <c r="C38" t="str">
        <f t="shared" si="1"/>
        <v>Industrial Raw Material Grade-1037</v>
      </c>
      <c r="D38" t="str">
        <f t="shared" si="2"/>
        <v>Kg</v>
      </c>
      <c r="E38">
        <f t="shared" ca="1" si="3"/>
        <v>280</v>
      </c>
      <c r="F38">
        <f t="shared" ca="1" si="4"/>
        <v>864</v>
      </c>
      <c r="G38">
        <f t="shared" ca="1" si="5"/>
        <v>71</v>
      </c>
    </row>
    <row r="39" spans="1:7" x14ac:dyDescent="0.3">
      <c r="A39">
        <v>1038</v>
      </c>
      <c r="B39" t="str">
        <f t="shared" si="0"/>
        <v>Raw Material</v>
      </c>
      <c r="C39" t="str">
        <f t="shared" si="1"/>
        <v>Industrial Raw Material Grade-1038</v>
      </c>
      <c r="D39" t="str">
        <f t="shared" si="2"/>
        <v>Kg</v>
      </c>
      <c r="E39">
        <f t="shared" ca="1" si="3"/>
        <v>197</v>
      </c>
      <c r="F39">
        <f t="shared" ca="1" si="4"/>
        <v>1428</v>
      </c>
      <c r="G39">
        <f t="shared" ca="1" si="5"/>
        <v>28</v>
      </c>
    </row>
    <row r="40" spans="1:7" x14ac:dyDescent="0.3">
      <c r="A40">
        <v>1039</v>
      </c>
      <c r="B40" t="str">
        <f t="shared" si="0"/>
        <v>Raw Material</v>
      </c>
      <c r="C40" t="str">
        <f t="shared" si="1"/>
        <v>Industrial Raw Material Grade-1039</v>
      </c>
      <c r="D40" t="str">
        <f t="shared" si="2"/>
        <v>Kg</v>
      </c>
      <c r="E40">
        <f t="shared" ca="1" si="3"/>
        <v>350</v>
      </c>
      <c r="F40">
        <f t="shared" ca="1" si="4"/>
        <v>672</v>
      </c>
      <c r="G40">
        <f t="shared" ca="1" si="5"/>
        <v>25</v>
      </c>
    </row>
    <row r="41" spans="1:7" x14ac:dyDescent="0.3">
      <c r="A41">
        <v>1040</v>
      </c>
      <c r="B41" t="str">
        <f t="shared" si="0"/>
        <v>Raw Material</v>
      </c>
      <c r="C41" t="str">
        <f t="shared" si="1"/>
        <v>Industrial Raw Material Grade-1040</v>
      </c>
      <c r="D41" t="str">
        <f t="shared" si="2"/>
        <v>Kg</v>
      </c>
      <c r="E41">
        <f t="shared" ca="1" si="3"/>
        <v>267</v>
      </c>
      <c r="F41">
        <f t="shared" ca="1" si="4"/>
        <v>698</v>
      </c>
      <c r="G41">
        <f t="shared" ca="1" si="5"/>
        <v>24</v>
      </c>
    </row>
    <row r="42" spans="1:7" x14ac:dyDescent="0.3">
      <c r="A42">
        <v>1041</v>
      </c>
      <c r="B42" t="str">
        <f t="shared" si="0"/>
        <v>Raw Material</v>
      </c>
      <c r="C42" t="str">
        <f t="shared" si="1"/>
        <v>Industrial Raw Material Grade-1041</v>
      </c>
      <c r="D42" t="str">
        <f t="shared" si="2"/>
        <v>Kg</v>
      </c>
      <c r="E42">
        <f t="shared" ca="1" si="3"/>
        <v>412</v>
      </c>
      <c r="F42">
        <f t="shared" ca="1" si="4"/>
        <v>1136</v>
      </c>
      <c r="G42">
        <f t="shared" ca="1" si="5"/>
        <v>62</v>
      </c>
    </row>
    <row r="43" spans="1:7" x14ac:dyDescent="0.3">
      <c r="A43">
        <v>1042</v>
      </c>
      <c r="B43" t="str">
        <f t="shared" si="0"/>
        <v>Raw Material</v>
      </c>
      <c r="C43" t="str">
        <f t="shared" si="1"/>
        <v>Industrial Raw Material Grade-1042</v>
      </c>
      <c r="D43" t="str">
        <f t="shared" si="2"/>
        <v>Kg</v>
      </c>
      <c r="E43">
        <f t="shared" ca="1" si="3"/>
        <v>342</v>
      </c>
      <c r="F43">
        <f t="shared" ca="1" si="4"/>
        <v>1336</v>
      </c>
      <c r="G43">
        <f t="shared" ca="1" si="5"/>
        <v>121</v>
      </c>
    </row>
    <row r="44" spans="1:7" x14ac:dyDescent="0.3">
      <c r="A44">
        <v>1043</v>
      </c>
      <c r="B44" t="str">
        <f t="shared" si="0"/>
        <v>Raw Material</v>
      </c>
      <c r="C44" t="str">
        <f t="shared" si="1"/>
        <v>Industrial Raw Material Grade-1043</v>
      </c>
      <c r="D44" t="str">
        <f t="shared" si="2"/>
        <v>Kg</v>
      </c>
      <c r="E44">
        <f t="shared" ca="1" si="3"/>
        <v>194</v>
      </c>
      <c r="F44">
        <f t="shared" ca="1" si="4"/>
        <v>356</v>
      </c>
      <c r="G44">
        <f t="shared" ca="1" si="5"/>
        <v>50</v>
      </c>
    </row>
    <row r="45" spans="1:7" x14ac:dyDescent="0.3">
      <c r="A45">
        <v>1044</v>
      </c>
      <c r="B45" t="str">
        <f t="shared" si="0"/>
        <v>Raw Material</v>
      </c>
      <c r="C45" t="str">
        <f t="shared" si="1"/>
        <v>Industrial Raw Material Grade-1044</v>
      </c>
      <c r="D45" t="str">
        <f t="shared" si="2"/>
        <v>Kg</v>
      </c>
      <c r="E45">
        <f t="shared" ca="1" si="3"/>
        <v>209</v>
      </c>
      <c r="F45">
        <f t="shared" ca="1" si="4"/>
        <v>867</v>
      </c>
      <c r="G45">
        <f t="shared" ca="1" si="5"/>
        <v>49</v>
      </c>
    </row>
    <row r="46" spans="1:7" x14ac:dyDescent="0.3">
      <c r="A46">
        <v>1045</v>
      </c>
      <c r="B46" t="str">
        <f t="shared" si="0"/>
        <v>Raw Material</v>
      </c>
      <c r="C46" t="str">
        <f t="shared" si="1"/>
        <v>Industrial Raw Material Grade-1045</v>
      </c>
      <c r="D46" t="str">
        <f t="shared" si="2"/>
        <v>Kg</v>
      </c>
      <c r="E46">
        <f t="shared" ca="1" si="3"/>
        <v>81</v>
      </c>
      <c r="F46">
        <f t="shared" ca="1" si="4"/>
        <v>1320</v>
      </c>
      <c r="G46">
        <f t="shared" ca="1" si="5"/>
        <v>26</v>
      </c>
    </row>
    <row r="47" spans="1:7" x14ac:dyDescent="0.3">
      <c r="A47">
        <v>1046</v>
      </c>
      <c r="B47" t="str">
        <f t="shared" si="0"/>
        <v>Raw Material</v>
      </c>
      <c r="C47" t="str">
        <f t="shared" si="1"/>
        <v>Industrial Raw Material Grade-1046</v>
      </c>
      <c r="D47" t="str">
        <f t="shared" si="2"/>
        <v>Kg</v>
      </c>
      <c r="E47">
        <f t="shared" ca="1" si="3"/>
        <v>176</v>
      </c>
      <c r="F47">
        <f t="shared" ca="1" si="4"/>
        <v>1289</v>
      </c>
      <c r="G47">
        <f t="shared" ca="1" si="5"/>
        <v>92</v>
      </c>
    </row>
    <row r="48" spans="1:7" x14ac:dyDescent="0.3">
      <c r="A48">
        <v>1047</v>
      </c>
      <c r="B48" t="str">
        <f t="shared" si="0"/>
        <v>Raw Material</v>
      </c>
      <c r="C48" t="str">
        <f t="shared" si="1"/>
        <v>Industrial Raw Material Grade-1047</v>
      </c>
      <c r="D48" t="str">
        <f t="shared" si="2"/>
        <v>Kg</v>
      </c>
      <c r="E48">
        <f t="shared" ca="1" si="3"/>
        <v>359</v>
      </c>
      <c r="F48">
        <f t="shared" ca="1" si="4"/>
        <v>1087</v>
      </c>
      <c r="G48">
        <f t="shared" ca="1" si="5"/>
        <v>77</v>
      </c>
    </row>
    <row r="49" spans="1:7" x14ac:dyDescent="0.3">
      <c r="A49">
        <v>1048</v>
      </c>
      <c r="B49" t="str">
        <f t="shared" si="0"/>
        <v>Raw Material</v>
      </c>
      <c r="C49" t="str">
        <f t="shared" si="1"/>
        <v>Industrial Raw Material Grade-1048</v>
      </c>
      <c r="D49" t="str">
        <f t="shared" si="2"/>
        <v>Kg</v>
      </c>
      <c r="E49">
        <f t="shared" ca="1" si="3"/>
        <v>89</v>
      </c>
      <c r="F49">
        <f t="shared" ca="1" si="4"/>
        <v>1404</v>
      </c>
      <c r="G49">
        <f t="shared" ca="1" si="5"/>
        <v>150</v>
      </c>
    </row>
    <row r="50" spans="1:7" x14ac:dyDescent="0.3">
      <c r="A50">
        <v>1049</v>
      </c>
      <c r="B50" t="str">
        <f t="shared" si="0"/>
        <v>Raw Material</v>
      </c>
      <c r="C50" t="str">
        <f t="shared" si="1"/>
        <v>Industrial Raw Material Grade-1049</v>
      </c>
      <c r="D50" t="str">
        <f t="shared" si="2"/>
        <v>Kg</v>
      </c>
      <c r="E50">
        <f t="shared" ca="1" si="3"/>
        <v>172</v>
      </c>
      <c r="F50">
        <f t="shared" ca="1" si="4"/>
        <v>837</v>
      </c>
      <c r="G50">
        <f t="shared" ca="1" si="5"/>
        <v>24</v>
      </c>
    </row>
    <row r="51" spans="1:7" x14ac:dyDescent="0.3">
      <c r="A51">
        <v>1050</v>
      </c>
      <c r="B51" t="str">
        <f t="shared" si="0"/>
        <v>Raw Material</v>
      </c>
      <c r="C51" t="str">
        <f t="shared" si="1"/>
        <v>Industrial Raw Material Grade-1050</v>
      </c>
      <c r="D51" t="str">
        <f t="shared" si="2"/>
        <v>Kg</v>
      </c>
      <c r="E51">
        <f t="shared" ca="1" si="3"/>
        <v>71</v>
      </c>
      <c r="F51">
        <f t="shared" ca="1" si="4"/>
        <v>1228</v>
      </c>
      <c r="G51">
        <f t="shared" ca="1" si="5"/>
        <v>76</v>
      </c>
    </row>
    <row r="52" spans="1:7" x14ac:dyDescent="0.3">
      <c r="A52">
        <v>1051</v>
      </c>
      <c r="B52" t="str">
        <f t="shared" si="0"/>
        <v>Raw Material</v>
      </c>
      <c r="C52" t="str">
        <f t="shared" si="1"/>
        <v>Industrial Raw Material Grade-1051</v>
      </c>
      <c r="D52" t="str">
        <f t="shared" si="2"/>
        <v>Kg</v>
      </c>
      <c r="E52">
        <f t="shared" ca="1" si="3"/>
        <v>92</v>
      </c>
      <c r="F52">
        <f t="shared" ca="1" si="4"/>
        <v>946</v>
      </c>
      <c r="G52">
        <f t="shared" ca="1" si="5"/>
        <v>112</v>
      </c>
    </row>
    <row r="53" spans="1:7" x14ac:dyDescent="0.3">
      <c r="A53">
        <v>1052</v>
      </c>
      <c r="B53" t="str">
        <f t="shared" si="0"/>
        <v>Raw Material</v>
      </c>
      <c r="C53" t="str">
        <f t="shared" si="1"/>
        <v>Industrial Raw Material Grade-1052</v>
      </c>
      <c r="D53" t="str">
        <f t="shared" si="2"/>
        <v>Kg</v>
      </c>
      <c r="E53">
        <f t="shared" ca="1" si="3"/>
        <v>254</v>
      </c>
      <c r="F53">
        <f t="shared" ca="1" si="4"/>
        <v>344</v>
      </c>
      <c r="G53">
        <f t="shared" ca="1" si="5"/>
        <v>119</v>
      </c>
    </row>
    <row r="54" spans="1:7" x14ac:dyDescent="0.3">
      <c r="A54">
        <v>1053</v>
      </c>
      <c r="B54" t="str">
        <f t="shared" si="0"/>
        <v>Raw Material</v>
      </c>
      <c r="C54" t="str">
        <f t="shared" si="1"/>
        <v>Industrial Raw Material Grade-1053</v>
      </c>
      <c r="D54" t="str">
        <f t="shared" si="2"/>
        <v>Kg</v>
      </c>
      <c r="E54">
        <f t="shared" ca="1" si="3"/>
        <v>102</v>
      </c>
      <c r="F54">
        <f t="shared" ca="1" si="4"/>
        <v>712</v>
      </c>
      <c r="G54">
        <f t="shared" ca="1" si="5"/>
        <v>119</v>
      </c>
    </row>
    <row r="55" spans="1:7" x14ac:dyDescent="0.3">
      <c r="A55">
        <v>1054</v>
      </c>
      <c r="B55" t="str">
        <f t="shared" si="0"/>
        <v>Raw Material</v>
      </c>
      <c r="C55" t="str">
        <f t="shared" si="1"/>
        <v>Industrial Raw Material Grade-1054</v>
      </c>
      <c r="D55" t="str">
        <f t="shared" si="2"/>
        <v>Kg</v>
      </c>
      <c r="E55">
        <f t="shared" ca="1" si="3"/>
        <v>73</v>
      </c>
      <c r="F55">
        <f t="shared" ca="1" si="4"/>
        <v>1372</v>
      </c>
      <c r="G55">
        <f t="shared" ca="1" si="5"/>
        <v>29</v>
      </c>
    </row>
    <row r="56" spans="1:7" x14ac:dyDescent="0.3">
      <c r="A56">
        <v>1055</v>
      </c>
      <c r="B56" t="str">
        <f t="shared" si="0"/>
        <v>Raw Material</v>
      </c>
      <c r="C56" t="str">
        <f t="shared" si="1"/>
        <v>Industrial Raw Material Grade-1055</v>
      </c>
      <c r="D56" t="str">
        <f t="shared" si="2"/>
        <v>Kg</v>
      </c>
      <c r="E56">
        <f t="shared" ca="1" si="3"/>
        <v>95</v>
      </c>
      <c r="F56">
        <f t="shared" ca="1" si="4"/>
        <v>811</v>
      </c>
      <c r="G56">
        <f t="shared" ca="1" si="5"/>
        <v>147</v>
      </c>
    </row>
    <row r="57" spans="1:7" x14ac:dyDescent="0.3">
      <c r="A57">
        <v>1056</v>
      </c>
      <c r="B57" t="str">
        <f t="shared" si="0"/>
        <v>Raw Material</v>
      </c>
      <c r="C57" t="str">
        <f t="shared" si="1"/>
        <v>Industrial Raw Material Grade-1056</v>
      </c>
      <c r="D57" t="str">
        <f t="shared" si="2"/>
        <v>Kg</v>
      </c>
      <c r="E57">
        <f t="shared" ca="1" si="3"/>
        <v>405</v>
      </c>
      <c r="F57">
        <f t="shared" ca="1" si="4"/>
        <v>1070</v>
      </c>
      <c r="G57">
        <f t="shared" ca="1" si="5"/>
        <v>132</v>
      </c>
    </row>
    <row r="58" spans="1:7" x14ac:dyDescent="0.3">
      <c r="A58">
        <v>1057</v>
      </c>
      <c r="B58" t="str">
        <f t="shared" si="0"/>
        <v>Raw Material</v>
      </c>
      <c r="C58" t="str">
        <f t="shared" si="1"/>
        <v>Industrial Raw Material Grade-1057</v>
      </c>
      <c r="D58" t="str">
        <f t="shared" si="2"/>
        <v>Kg</v>
      </c>
      <c r="E58">
        <f t="shared" ca="1" si="3"/>
        <v>338</v>
      </c>
      <c r="F58">
        <f t="shared" ca="1" si="4"/>
        <v>613</v>
      </c>
      <c r="G58">
        <f t="shared" ca="1" si="5"/>
        <v>62</v>
      </c>
    </row>
    <row r="59" spans="1:7" x14ac:dyDescent="0.3">
      <c r="A59">
        <v>1058</v>
      </c>
      <c r="B59" t="str">
        <f t="shared" si="0"/>
        <v>Raw Material</v>
      </c>
      <c r="C59" t="str">
        <f t="shared" si="1"/>
        <v>Industrial Raw Material Grade-1058</v>
      </c>
      <c r="D59" t="str">
        <f t="shared" si="2"/>
        <v>Kg</v>
      </c>
      <c r="E59">
        <f t="shared" ca="1" si="3"/>
        <v>359</v>
      </c>
      <c r="F59">
        <f t="shared" ca="1" si="4"/>
        <v>1142</v>
      </c>
      <c r="G59">
        <f t="shared" ca="1" si="5"/>
        <v>94</v>
      </c>
    </row>
    <row r="60" spans="1:7" x14ac:dyDescent="0.3">
      <c r="A60">
        <v>1059</v>
      </c>
      <c r="B60" t="str">
        <f t="shared" si="0"/>
        <v>Raw Material</v>
      </c>
      <c r="C60" t="str">
        <f t="shared" si="1"/>
        <v>Industrial Raw Material Grade-1059</v>
      </c>
      <c r="D60" t="str">
        <f t="shared" si="2"/>
        <v>Kg</v>
      </c>
      <c r="E60">
        <f t="shared" ca="1" si="3"/>
        <v>443</v>
      </c>
      <c r="F60">
        <f t="shared" ca="1" si="4"/>
        <v>523</v>
      </c>
      <c r="G60">
        <f t="shared" ca="1" si="5"/>
        <v>82</v>
      </c>
    </row>
    <row r="61" spans="1:7" x14ac:dyDescent="0.3">
      <c r="A61">
        <v>1060</v>
      </c>
      <c r="B61" t="str">
        <f t="shared" si="0"/>
        <v>Raw Material</v>
      </c>
      <c r="C61" t="str">
        <f t="shared" si="1"/>
        <v>Industrial Raw Material Grade-1060</v>
      </c>
      <c r="D61" t="str">
        <f t="shared" si="2"/>
        <v>Kg</v>
      </c>
      <c r="E61">
        <f t="shared" ca="1" si="3"/>
        <v>437</v>
      </c>
      <c r="F61">
        <f t="shared" ca="1" si="4"/>
        <v>320</v>
      </c>
      <c r="G61">
        <f t="shared" ca="1" si="5"/>
        <v>142</v>
      </c>
    </row>
    <row r="62" spans="1:7" x14ac:dyDescent="0.3">
      <c r="A62">
        <v>1061</v>
      </c>
      <c r="B62" t="str">
        <f t="shared" si="0"/>
        <v>Raw Material</v>
      </c>
      <c r="C62" t="str">
        <f t="shared" si="1"/>
        <v>Industrial Raw Material Grade-1061</v>
      </c>
      <c r="D62" t="str">
        <f t="shared" si="2"/>
        <v>Kg</v>
      </c>
      <c r="E62">
        <f t="shared" ca="1" si="3"/>
        <v>141</v>
      </c>
      <c r="F62">
        <f t="shared" ca="1" si="4"/>
        <v>1177</v>
      </c>
      <c r="G62">
        <f t="shared" ca="1" si="5"/>
        <v>144</v>
      </c>
    </row>
    <row r="63" spans="1:7" x14ac:dyDescent="0.3">
      <c r="A63">
        <v>1062</v>
      </c>
      <c r="B63" t="str">
        <f t="shared" si="0"/>
        <v>Raw Material</v>
      </c>
      <c r="C63" t="str">
        <f t="shared" si="1"/>
        <v>Industrial Raw Material Grade-1062</v>
      </c>
      <c r="D63" t="str">
        <f t="shared" si="2"/>
        <v>Kg</v>
      </c>
      <c r="E63">
        <f t="shared" ca="1" si="3"/>
        <v>399</v>
      </c>
      <c r="F63">
        <f t="shared" ca="1" si="4"/>
        <v>1052</v>
      </c>
      <c r="G63">
        <f t="shared" ca="1" si="5"/>
        <v>55</v>
      </c>
    </row>
    <row r="64" spans="1:7" x14ac:dyDescent="0.3">
      <c r="A64">
        <v>1063</v>
      </c>
      <c r="B64" t="str">
        <f t="shared" si="0"/>
        <v>Raw Material</v>
      </c>
      <c r="C64" t="str">
        <f t="shared" si="1"/>
        <v>Industrial Raw Material Grade-1063</v>
      </c>
      <c r="D64" t="str">
        <f t="shared" si="2"/>
        <v>Kg</v>
      </c>
      <c r="E64">
        <f t="shared" ca="1" si="3"/>
        <v>257</v>
      </c>
      <c r="F64">
        <f t="shared" ca="1" si="4"/>
        <v>692</v>
      </c>
      <c r="G64">
        <f t="shared" ca="1" si="5"/>
        <v>123</v>
      </c>
    </row>
    <row r="65" spans="1:7" x14ac:dyDescent="0.3">
      <c r="A65">
        <v>1064</v>
      </c>
      <c r="B65" t="str">
        <f t="shared" si="0"/>
        <v>Raw Material</v>
      </c>
      <c r="C65" t="str">
        <f t="shared" si="1"/>
        <v>Industrial Raw Material Grade-1064</v>
      </c>
      <c r="D65" t="str">
        <f t="shared" si="2"/>
        <v>Kg</v>
      </c>
      <c r="E65">
        <f t="shared" ca="1" si="3"/>
        <v>56</v>
      </c>
      <c r="F65">
        <f t="shared" ca="1" si="4"/>
        <v>911</v>
      </c>
      <c r="G65">
        <f t="shared" ca="1" si="5"/>
        <v>30</v>
      </c>
    </row>
    <row r="66" spans="1:7" x14ac:dyDescent="0.3">
      <c r="A66">
        <v>1065</v>
      </c>
      <c r="B66" t="str">
        <f t="shared" si="0"/>
        <v>Raw Material</v>
      </c>
      <c r="C66" t="str">
        <f t="shared" si="1"/>
        <v>Industrial Raw Material Grade-1065</v>
      </c>
      <c r="D66" t="str">
        <f t="shared" si="2"/>
        <v>Kg</v>
      </c>
      <c r="E66">
        <f t="shared" ca="1" si="3"/>
        <v>439</v>
      </c>
      <c r="F66">
        <f t="shared" ca="1" si="4"/>
        <v>1084</v>
      </c>
      <c r="G66">
        <f t="shared" ca="1" si="5"/>
        <v>134</v>
      </c>
    </row>
    <row r="67" spans="1:7" x14ac:dyDescent="0.3">
      <c r="A67">
        <v>1066</v>
      </c>
      <c r="B67" t="str">
        <f t="shared" ref="B67:B130" si="6">IF(A67&lt;=1200, "Raw Material", "Finished Part")</f>
        <v>Raw Material</v>
      </c>
      <c r="C67" t="str">
        <f t="shared" ref="C67:C130" si="7">IF(B67="Raw Material", "Industrial Raw Material Grade-" &amp; A67, "Precision Component Model-" &amp; A67)</f>
        <v>Industrial Raw Material Grade-1066</v>
      </c>
      <c r="D67" t="str">
        <f t="shared" ref="D67:D130" si="8">IF(B67="Raw Material", "Kg", "Pieces")</f>
        <v>Kg</v>
      </c>
      <c r="E67">
        <f t="shared" ref="E67:E130" ca="1" si="9">RANDBETWEEN(50, 450)</f>
        <v>299</v>
      </c>
      <c r="F67">
        <f t="shared" ref="F67:F130" ca="1" si="10">RANDBETWEEN(300, 1500)</f>
        <v>1196</v>
      </c>
      <c r="G67">
        <f t="shared" ref="G67:G130" ca="1" si="11">RANDBETWEEN(20, 150)</f>
        <v>115</v>
      </c>
    </row>
    <row r="68" spans="1:7" x14ac:dyDescent="0.3">
      <c r="A68">
        <v>1067</v>
      </c>
      <c r="B68" t="str">
        <f t="shared" si="6"/>
        <v>Raw Material</v>
      </c>
      <c r="C68" t="str">
        <f t="shared" si="7"/>
        <v>Industrial Raw Material Grade-1067</v>
      </c>
      <c r="D68" t="str">
        <f t="shared" si="8"/>
        <v>Kg</v>
      </c>
      <c r="E68">
        <f t="shared" ca="1" si="9"/>
        <v>127</v>
      </c>
      <c r="F68">
        <f t="shared" ca="1" si="10"/>
        <v>1266</v>
      </c>
      <c r="G68">
        <f t="shared" ca="1" si="11"/>
        <v>38</v>
      </c>
    </row>
    <row r="69" spans="1:7" x14ac:dyDescent="0.3">
      <c r="A69">
        <v>1068</v>
      </c>
      <c r="B69" t="str">
        <f t="shared" si="6"/>
        <v>Raw Material</v>
      </c>
      <c r="C69" t="str">
        <f t="shared" si="7"/>
        <v>Industrial Raw Material Grade-1068</v>
      </c>
      <c r="D69" t="str">
        <f t="shared" si="8"/>
        <v>Kg</v>
      </c>
      <c r="E69">
        <f t="shared" ca="1" si="9"/>
        <v>132</v>
      </c>
      <c r="F69">
        <f t="shared" ca="1" si="10"/>
        <v>939</v>
      </c>
      <c r="G69">
        <f t="shared" ca="1" si="11"/>
        <v>128</v>
      </c>
    </row>
    <row r="70" spans="1:7" x14ac:dyDescent="0.3">
      <c r="A70">
        <v>1069</v>
      </c>
      <c r="B70" t="str">
        <f t="shared" si="6"/>
        <v>Raw Material</v>
      </c>
      <c r="C70" t="str">
        <f t="shared" si="7"/>
        <v>Industrial Raw Material Grade-1069</v>
      </c>
      <c r="D70" t="str">
        <f t="shared" si="8"/>
        <v>Kg</v>
      </c>
      <c r="E70">
        <f t="shared" ca="1" si="9"/>
        <v>93</v>
      </c>
      <c r="F70">
        <f t="shared" ca="1" si="10"/>
        <v>451</v>
      </c>
      <c r="G70">
        <f t="shared" ca="1" si="11"/>
        <v>126</v>
      </c>
    </row>
    <row r="71" spans="1:7" x14ac:dyDescent="0.3">
      <c r="A71">
        <v>1070</v>
      </c>
      <c r="B71" t="str">
        <f t="shared" si="6"/>
        <v>Raw Material</v>
      </c>
      <c r="C71" t="str">
        <f t="shared" si="7"/>
        <v>Industrial Raw Material Grade-1070</v>
      </c>
      <c r="D71" t="str">
        <f t="shared" si="8"/>
        <v>Kg</v>
      </c>
      <c r="E71">
        <f t="shared" ca="1" si="9"/>
        <v>401</v>
      </c>
      <c r="F71">
        <f t="shared" ca="1" si="10"/>
        <v>766</v>
      </c>
      <c r="G71">
        <f t="shared" ca="1" si="11"/>
        <v>139</v>
      </c>
    </row>
    <row r="72" spans="1:7" x14ac:dyDescent="0.3">
      <c r="A72">
        <v>1071</v>
      </c>
      <c r="B72" t="str">
        <f t="shared" si="6"/>
        <v>Raw Material</v>
      </c>
      <c r="C72" t="str">
        <f t="shared" si="7"/>
        <v>Industrial Raw Material Grade-1071</v>
      </c>
      <c r="D72" t="str">
        <f t="shared" si="8"/>
        <v>Kg</v>
      </c>
      <c r="E72">
        <f t="shared" ca="1" si="9"/>
        <v>79</v>
      </c>
      <c r="F72">
        <f t="shared" ca="1" si="10"/>
        <v>677</v>
      </c>
      <c r="G72">
        <f t="shared" ca="1" si="11"/>
        <v>79</v>
      </c>
    </row>
    <row r="73" spans="1:7" x14ac:dyDescent="0.3">
      <c r="A73">
        <v>1072</v>
      </c>
      <c r="B73" t="str">
        <f t="shared" si="6"/>
        <v>Raw Material</v>
      </c>
      <c r="C73" t="str">
        <f t="shared" si="7"/>
        <v>Industrial Raw Material Grade-1072</v>
      </c>
      <c r="D73" t="str">
        <f t="shared" si="8"/>
        <v>Kg</v>
      </c>
      <c r="E73">
        <f t="shared" ca="1" si="9"/>
        <v>288</v>
      </c>
      <c r="F73">
        <f t="shared" ca="1" si="10"/>
        <v>1090</v>
      </c>
      <c r="G73">
        <f t="shared" ca="1" si="11"/>
        <v>104</v>
      </c>
    </row>
    <row r="74" spans="1:7" x14ac:dyDescent="0.3">
      <c r="A74">
        <v>1073</v>
      </c>
      <c r="B74" t="str">
        <f t="shared" si="6"/>
        <v>Raw Material</v>
      </c>
      <c r="C74" t="str">
        <f t="shared" si="7"/>
        <v>Industrial Raw Material Grade-1073</v>
      </c>
      <c r="D74" t="str">
        <f t="shared" si="8"/>
        <v>Kg</v>
      </c>
      <c r="E74">
        <f t="shared" ca="1" si="9"/>
        <v>355</v>
      </c>
      <c r="F74">
        <f t="shared" ca="1" si="10"/>
        <v>1238</v>
      </c>
      <c r="G74">
        <f t="shared" ca="1" si="11"/>
        <v>148</v>
      </c>
    </row>
    <row r="75" spans="1:7" x14ac:dyDescent="0.3">
      <c r="A75">
        <v>1074</v>
      </c>
      <c r="B75" t="str">
        <f t="shared" si="6"/>
        <v>Raw Material</v>
      </c>
      <c r="C75" t="str">
        <f t="shared" si="7"/>
        <v>Industrial Raw Material Grade-1074</v>
      </c>
      <c r="D75" t="str">
        <f t="shared" si="8"/>
        <v>Kg</v>
      </c>
      <c r="E75">
        <f t="shared" ca="1" si="9"/>
        <v>199</v>
      </c>
      <c r="F75">
        <f t="shared" ca="1" si="10"/>
        <v>770</v>
      </c>
      <c r="G75">
        <f t="shared" ca="1" si="11"/>
        <v>96</v>
      </c>
    </row>
    <row r="76" spans="1:7" x14ac:dyDescent="0.3">
      <c r="A76">
        <v>1075</v>
      </c>
      <c r="B76" t="str">
        <f t="shared" si="6"/>
        <v>Raw Material</v>
      </c>
      <c r="C76" t="str">
        <f t="shared" si="7"/>
        <v>Industrial Raw Material Grade-1075</v>
      </c>
      <c r="D76" t="str">
        <f t="shared" si="8"/>
        <v>Kg</v>
      </c>
      <c r="E76">
        <f t="shared" ca="1" si="9"/>
        <v>409</v>
      </c>
      <c r="F76">
        <f t="shared" ca="1" si="10"/>
        <v>405</v>
      </c>
      <c r="G76">
        <f t="shared" ca="1" si="11"/>
        <v>104</v>
      </c>
    </row>
    <row r="77" spans="1:7" x14ac:dyDescent="0.3">
      <c r="A77">
        <v>1076</v>
      </c>
      <c r="B77" t="str">
        <f t="shared" si="6"/>
        <v>Raw Material</v>
      </c>
      <c r="C77" t="str">
        <f t="shared" si="7"/>
        <v>Industrial Raw Material Grade-1076</v>
      </c>
      <c r="D77" t="str">
        <f t="shared" si="8"/>
        <v>Kg</v>
      </c>
      <c r="E77">
        <f t="shared" ca="1" si="9"/>
        <v>339</v>
      </c>
      <c r="F77">
        <f t="shared" ca="1" si="10"/>
        <v>333</v>
      </c>
      <c r="G77">
        <f t="shared" ca="1" si="11"/>
        <v>128</v>
      </c>
    </row>
    <row r="78" spans="1:7" x14ac:dyDescent="0.3">
      <c r="A78">
        <v>1077</v>
      </c>
      <c r="B78" t="str">
        <f t="shared" si="6"/>
        <v>Raw Material</v>
      </c>
      <c r="C78" t="str">
        <f t="shared" si="7"/>
        <v>Industrial Raw Material Grade-1077</v>
      </c>
      <c r="D78" t="str">
        <f t="shared" si="8"/>
        <v>Kg</v>
      </c>
      <c r="E78">
        <f t="shared" ca="1" si="9"/>
        <v>94</v>
      </c>
      <c r="F78">
        <f t="shared" ca="1" si="10"/>
        <v>830</v>
      </c>
      <c r="G78">
        <f t="shared" ca="1" si="11"/>
        <v>46</v>
      </c>
    </row>
    <row r="79" spans="1:7" x14ac:dyDescent="0.3">
      <c r="A79">
        <v>1078</v>
      </c>
      <c r="B79" t="str">
        <f t="shared" si="6"/>
        <v>Raw Material</v>
      </c>
      <c r="C79" t="str">
        <f t="shared" si="7"/>
        <v>Industrial Raw Material Grade-1078</v>
      </c>
      <c r="D79" t="str">
        <f t="shared" si="8"/>
        <v>Kg</v>
      </c>
      <c r="E79">
        <f t="shared" ca="1" si="9"/>
        <v>80</v>
      </c>
      <c r="F79">
        <f t="shared" ca="1" si="10"/>
        <v>1298</v>
      </c>
      <c r="G79">
        <f t="shared" ca="1" si="11"/>
        <v>122</v>
      </c>
    </row>
    <row r="80" spans="1:7" x14ac:dyDescent="0.3">
      <c r="A80">
        <v>1079</v>
      </c>
      <c r="B80" t="str">
        <f t="shared" si="6"/>
        <v>Raw Material</v>
      </c>
      <c r="C80" t="str">
        <f t="shared" si="7"/>
        <v>Industrial Raw Material Grade-1079</v>
      </c>
      <c r="D80" t="str">
        <f t="shared" si="8"/>
        <v>Kg</v>
      </c>
      <c r="E80">
        <f t="shared" ca="1" si="9"/>
        <v>117</v>
      </c>
      <c r="F80">
        <f t="shared" ca="1" si="10"/>
        <v>345</v>
      </c>
      <c r="G80">
        <f t="shared" ca="1" si="11"/>
        <v>26</v>
      </c>
    </row>
    <row r="81" spans="1:7" x14ac:dyDescent="0.3">
      <c r="A81">
        <v>1080</v>
      </c>
      <c r="B81" t="str">
        <f t="shared" si="6"/>
        <v>Raw Material</v>
      </c>
      <c r="C81" t="str">
        <f t="shared" si="7"/>
        <v>Industrial Raw Material Grade-1080</v>
      </c>
      <c r="D81" t="str">
        <f t="shared" si="8"/>
        <v>Kg</v>
      </c>
      <c r="E81">
        <f t="shared" ca="1" si="9"/>
        <v>390</v>
      </c>
      <c r="F81">
        <f t="shared" ca="1" si="10"/>
        <v>1108</v>
      </c>
      <c r="G81">
        <f t="shared" ca="1" si="11"/>
        <v>39</v>
      </c>
    </row>
    <row r="82" spans="1:7" x14ac:dyDescent="0.3">
      <c r="A82">
        <v>1081</v>
      </c>
      <c r="B82" t="str">
        <f t="shared" si="6"/>
        <v>Raw Material</v>
      </c>
      <c r="C82" t="str">
        <f t="shared" si="7"/>
        <v>Industrial Raw Material Grade-1081</v>
      </c>
      <c r="D82" t="str">
        <f t="shared" si="8"/>
        <v>Kg</v>
      </c>
      <c r="E82">
        <f t="shared" ca="1" si="9"/>
        <v>116</v>
      </c>
      <c r="F82">
        <f t="shared" ca="1" si="10"/>
        <v>1240</v>
      </c>
      <c r="G82">
        <f t="shared" ca="1" si="11"/>
        <v>129</v>
      </c>
    </row>
    <row r="83" spans="1:7" x14ac:dyDescent="0.3">
      <c r="A83">
        <v>1082</v>
      </c>
      <c r="B83" t="str">
        <f t="shared" si="6"/>
        <v>Raw Material</v>
      </c>
      <c r="C83" t="str">
        <f t="shared" si="7"/>
        <v>Industrial Raw Material Grade-1082</v>
      </c>
      <c r="D83" t="str">
        <f t="shared" si="8"/>
        <v>Kg</v>
      </c>
      <c r="E83">
        <f t="shared" ca="1" si="9"/>
        <v>148</v>
      </c>
      <c r="F83">
        <f t="shared" ca="1" si="10"/>
        <v>577</v>
      </c>
      <c r="G83">
        <f t="shared" ca="1" si="11"/>
        <v>122</v>
      </c>
    </row>
    <row r="84" spans="1:7" x14ac:dyDescent="0.3">
      <c r="A84">
        <v>1083</v>
      </c>
      <c r="B84" t="str">
        <f t="shared" si="6"/>
        <v>Raw Material</v>
      </c>
      <c r="C84" t="str">
        <f t="shared" si="7"/>
        <v>Industrial Raw Material Grade-1083</v>
      </c>
      <c r="D84" t="str">
        <f t="shared" si="8"/>
        <v>Kg</v>
      </c>
      <c r="E84">
        <f t="shared" ca="1" si="9"/>
        <v>281</v>
      </c>
      <c r="F84">
        <f t="shared" ca="1" si="10"/>
        <v>975</v>
      </c>
      <c r="G84">
        <f t="shared" ca="1" si="11"/>
        <v>116</v>
      </c>
    </row>
    <row r="85" spans="1:7" x14ac:dyDescent="0.3">
      <c r="A85">
        <v>1084</v>
      </c>
      <c r="B85" t="str">
        <f t="shared" si="6"/>
        <v>Raw Material</v>
      </c>
      <c r="C85" t="str">
        <f t="shared" si="7"/>
        <v>Industrial Raw Material Grade-1084</v>
      </c>
      <c r="D85" t="str">
        <f t="shared" si="8"/>
        <v>Kg</v>
      </c>
      <c r="E85">
        <f t="shared" ca="1" si="9"/>
        <v>135</v>
      </c>
      <c r="F85">
        <f t="shared" ca="1" si="10"/>
        <v>1264</v>
      </c>
      <c r="G85">
        <f t="shared" ca="1" si="11"/>
        <v>104</v>
      </c>
    </row>
    <row r="86" spans="1:7" x14ac:dyDescent="0.3">
      <c r="A86">
        <v>1085</v>
      </c>
      <c r="B86" t="str">
        <f t="shared" si="6"/>
        <v>Raw Material</v>
      </c>
      <c r="C86" t="str">
        <f t="shared" si="7"/>
        <v>Industrial Raw Material Grade-1085</v>
      </c>
      <c r="D86" t="str">
        <f t="shared" si="8"/>
        <v>Kg</v>
      </c>
      <c r="E86">
        <f t="shared" ca="1" si="9"/>
        <v>82</v>
      </c>
      <c r="F86">
        <f t="shared" ca="1" si="10"/>
        <v>1246</v>
      </c>
      <c r="G86">
        <f t="shared" ca="1" si="11"/>
        <v>136</v>
      </c>
    </row>
    <row r="87" spans="1:7" x14ac:dyDescent="0.3">
      <c r="A87">
        <v>1086</v>
      </c>
      <c r="B87" t="str">
        <f t="shared" si="6"/>
        <v>Raw Material</v>
      </c>
      <c r="C87" t="str">
        <f t="shared" si="7"/>
        <v>Industrial Raw Material Grade-1086</v>
      </c>
      <c r="D87" t="str">
        <f t="shared" si="8"/>
        <v>Kg</v>
      </c>
      <c r="E87">
        <f t="shared" ca="1" si="9"/>
        <v>372</v>
      </c>
      <c r="F87">
        <f t="shared" ca="1" si="10"/>
        <v>758</v>
      </c>
      <c r="G87">
        <f t="shared" ca="1" si="11"/>
        <v>137</v>
      </c>
    </row>
    <row r="88" spans="1:7" x14ac:dyDescent="0.3">
      <c r="A88">
        <v>1087</v>
      </c>
      <c r="B88" t="str">
        <f t="shared" si="6"/>
        <v>Raw Material</v>
      </c>
      <c r="C88" t="str">
        <f t="shared" si="7"/>
        <v>Industrial Raw Material Grade-1087</v>
      </c>
      <c r="D88" t="str">
        <f t="shared" si="8"/>
        <v>Kg</v>
      </c>
      <c r="E88">
        <f t="shared" ca="1" si="9"/>
        <v>422</v>
      </c>
      <c r="F88">
        <f t="shared" ca="1" si="10"/>
        <v>1414</v>
      </c>
      <c r="G88">
        <f t="shared" ca="1" si="11"/>
        <v>113</v>
      </c>
    </row>
    <row r="89" spans="1:7" x14ac:dyDescent="0.3">
      <c r="A89">
        <v>1088</v>
      </c>
      <c r="B89" t="str">
        <f t="shared" si="6"/>
        <v>Raw Material</v>
      </c>
      <c r="C89" t="str">
        <f t="shared" si="7"/>
        <v>Industrial Raw Material Grade-1088</v>
      </c>
      <c r="D89" t="str">
        <f t="shared" si="8"/>
        <v>Kg</v>
      </c>
      <c r="E89">
        <f t="shared" ca="1" si="9"/>
        <v>116</v>
      </c>
      <c r="F89">
        <f t="shared" ca="1" si="10"/>
        <v>1079</v>
      </c>
      <c r="G89">
        <f t="shared" ca="1" si="11"/>
        <v>84</v>
      </c>
    </row>
    <row r="90" spans="1:7" x14ac:dyDescent="0.3">
      <c r="A90">
        <v>1089</v>
      </c>
      <c r="B90" t="str">
        <f t="shared" si="6"/>
        <v>Raw Material</v>
      </c>
      <c r="C90" t="str">
        <f t="shared" si="7"/>
        <v>Industrial Raw Material Grade-1089</v>
      </c>
      <c r="D90" t="str">
        <f t="shared" si="8"/>
        <v>Kg</v>
      </c>
      <c r="E90">
        <f t="shared" ca="1" si="9"/>
        <v>208</v>
      </c>
      <c r="F90">
        <f t="shared" ca="1" si="10"/>
        <v>1030</v>
      </c>
      <c r="G90">
        <f t="shared" ca="1" si="11"/>
        <v>124</v>
      </c>
    </row>
    <row r="91" spans="1:7" x14ac:dyDescent="0.3">
      <c r="A91">
        <v>1090</v>
      </c>
      <c r="B91" t="str">
        <f t="shared" si="6"/>
        <v>Raw Material</v>
      </c>
      <c r="C91" t="str">
        <f t="shared" si="7"/>
        <v>Industrial Raw Material Grade-1090</v>
      </c>
      <c r="D91" t="str">
        <f t="shared" si="8"/>
        <v>Kg</v>
      </c>
      <c r="E91">
        <f t="shared" ca="1" si="9"/>
        <v>137</v>
      </c>
      <c r="F91">
        <f t="shared" ca="1" si="10"/>
        <v>408</v>
      </c>
      <c r="G91">
        <f t="shared" ca="1" si="11"/>
        <v>114</v>
      </c>
    </row>
    <row r="92" spans="1:7" x14ac:dyDescent="0.3">
      <c r="A92">
        <v>1091</v>
      </c>
      <c r="B92" t="str">
        <f t="shared" si="6"/>
        <v>Raw Material</v>
      </c>
      <c r="C92" t="str">
        <f t="shared" si="7"/>
        <v>Industrial Raw Material Grade-1091</v>
      </c>
      <c r="D92" t="str">
        <f t="shared" si="8"/>
        <v>Kg</v>
      </c>
      <c r="E92">
        <f t="shared" ca="1" si="9"/>
        <v>76</v>
      </c>
      <c r="F92">
        <f t="shared" ca="1" si="10"/>
        <v>1360</v>
      </c>
      <c r="G92">
        <f t="shared" ca="1" si="11"/>
        <v>147</v>
      </c>
    </row>
    <row r="93" spans="1:7" x14ac:dyDescent="0.3">
      <c r="A93">
        <v>1092</v>
      </c>
      <c r="B93" t="str">
        <f t="shared" si="6"/>
        <v>Raw Material</v>
      </c>
      <c r="C93" t="str">
        <f t="shared" si="7"/>
        <v>Industrial Raw Material Grade-1092</v>
      </c>
      <c r="D93" t="str">
        <f t="shared" si="8"/>
        <v>Kg</v>
      </c>
      <c r="E93">
        <f t="shared" ca="1" si="9"/>
        <v>383</v>
      </c>
      <c r="F93">
        <f t="shared" ca="1" si="10"/>
        <v>1369</v>
      </c>
      <c r="G93">
        <f t="shared" ca="1" si="11"/>
        <v>51</v>
      </c>
    </row>
    <row r="94" spans="1:7" x14ac:dyDescent="0.3">
      <c r="A94">
        <v>1093</v>
      </c>
      <c r="B94" t="str">
        <f t="shared" si="6"/>
        <v>Raw Material</v>
      </c>
      <c r="C94" t="str">
        <f t="shared" si="7"/>
        <v>Industrial Raw Material Grade-1093</v>
      </c>
      <c r="D94" t="str">
        <f t="shared" si="8"/>
        <v>Kg</v>
      </c>
      <c r="E94">
        <f t="shared" ca="1" si="9"/>
        <v>317</v>
      </c>
      <c r="F94">
        <f t="shared" ca="1" si="10"/>
        <v>356</v>
      </c>
      <c r="G94">
        <f t="shared" ca="1" si="11"/>
        <v>22</v>
      </c>
    </row>
    <row r="95" spans="1:7" x14ac:dyDescent="0.3">
      <c r="A95">
        <v>1094</v>
      </c>
      <c r="B95" t="str">
        <f t="shared" si="6"/>
        <v>Raw Material</v>
      </c>
      <c r="C95" t="str">
        <f t="shared" si="7"/>
        <v>Industrial Raw Material Grade-1094</v>
      </c>
      <c r="D95" t="str">
        <f t="shared" si="8"/>
        <v>Kg</v>
      </c>
      <c r="E95">
        <f t="shared" ca="1" si="9"/>
        <v>280</v>
      </c>
      <c r="F95">
        <f t="shared" ca="1" si="10"/>
        <v>804</v>
      </c>
      <c r="G95">
        <f t="shared" ca="1" si="11"/>
        <v>45</v>
      </c>
    </row>
    <row r="96" spans="1:7" x14ac:dyDescent="0.3">
      <c r="A96">
        <v>1095</v>
      </c>
      <c r="B96" t="str">
        <f t="shared" si="6"/>
        <v>Raw Material</v>
      </c>
      <c r="C96" t="str">
        <f t="shared" si="7"/>
        <v>Industrial Raw Material Grade-1095</v>
      </c>
      <c r="D96" t="str">
        <f t="shared" si="8"/>
        <v>Kg</v>
      </c>
      <c r="E96">
        <f t="shared" ca="1" si="9"/>
        <v>60</v>
      </c>
      <c r="F96">
        <f t="shared" ca="1" si="10"/>
        <v>1129</v>
      </c>
      <c r="G96">
        <f t="shared" ca="1" si="11"/>
        <v>83</v>
      </c>
    </row>
    <row r="97" spans="1:7" x14ac:dyDescent="0.3">
      <c r="A97">
        <v>1096</v>
      </c>
      <c r="B97" t="str">
        <f t="shared" si="6"/>
        <v>Raw Material</v>
      </c>
      <c r="C97" t="str">
        <f t="shared" si="7"/>
        <v>Industrial Raw Material Grade-1096</v>
      </c>
      <c r="D97" t="str">
        <f t="shared" si="8"/>
        <v>Kg</v>
      </c>
      <c r="E97">
        <f t="shared" ca="1" si="9"/>
        <v>313</v>
      </c>
      <c r="F97">
        <f t="shared" ca="1" si="10"/>
        <v>940</v>
      </c>
      <c r="G97">
        <f t="shared" ca="1" si="11"/>
        <v>137</v>
      </c>
    </row>
    <row r="98" spans="1:7" x14ac:dyDescent="0.3">
      <c r="A98">
        <v>1097</v>
      </c>
      <c r="B98" t="str">
        <f t="shared" si="6"/>
        <v>Raw Material</v>
      </c>
      <c r="C98" t="str">
        <f t="shared" si="7"/>
        <v>Industrial Raw Material Grade-1097</v>
      </c>
      <c r="D98" t="str">
        <f t="shared" si="8"/>
        <v>Kg</v>
      </c>
      <c r="E98">
        <f t="shared" ca="1" si="9"/>
        <v>313</v>
      </c>
      <c r="F98">
        <f t="shared" ca="1" si="10"/>
        <v>794</v>
      </c>
      <c r="G98">
        <f t="shared" ca="1" si="11"/>
        <v>59</v>
      </c>
    </row>
    <row r="99" spans="1:7" x14ac:dyDescent="0.3">
      <c r="A99">
        <v>1098</v>
      </c>
      <c r="B99" t="str">
        <f t="shared" si="6"/>
        <v>Raw Material</v>
      </c>
      <c r="C99" t="str">
        <f t="shared" si="7"/>
        <v>Industrial Raw Material Grade-1098</v>
      </c>
      <c r="D99" t="str">
        <f t="shared" si="8"/>
        <v>Kg</v>
      </c>
      <c r="E99">
        <f t="shared" ca="1" si="9"/>
        <v>123</v>
      </c>
      <c r="F99">
        <f t="shared" ca="1" si="10"/>
        <v>548</v>
      </c>
      <c r="G99">
        <f t="shared" ca="1" si="11"/>
        <v>69</v>
      </c>
    </row>
    <row r="100" spans="1:7" x14ac:dyDescent="0.3">
      <c r="A100">
        <v>1099</v>
      </c>
      <c r="B100" t="str">
        <f t="shared" si="6"/>
        <v>Raw Material</v>
      </c>
      <c r="C100" t="str">
        <f t="shared" si="7"/>
        <v>Industrial Raw Material Grade-1099</v>
      </c>
      <c r="D100" t="str">
        <f t="shared" si="8"/>
        <v>Kg</v>
      </c>
      <c r="E100">
        <f t="shared" ca="1" si="9"/>
        <v>215</v>
      </c>
      <c r="F100">
        <f t="shared" ca="1" si="10"/>
        <v>1413</v>
      </c>
      <c r="G100">
        <f t="shared" ca="1" si="11"/>
        <v>98</v>
      </c>
    </row>
    <row r="101" spans="1:7" x14ac:dyDescent="0.3">
      <c r="A101">
        <v>1100</v>
      </c>
      <c r="B101" t="str">
        <f t="shared" si="6"/>
        <v>Raw Material</v>
      </c>
      <c r="C101" t="str">
        <f t="shared" si="7"/>
        <v>Industrial Raw Material Grade-1100</v>
      </c>
      <c r="D101" t="str">
        <f t="shared" si="8"/>
        <v>Kg</v>
      </c>
      <c r="E101">
        <f t="shared" ca="1" si="9"/>
        <v>275</v>
      </c>
      <c r="F101">
        <f t="shared" ca="1" si="10"/>
        <v>999</v>
      </c>
      <c r="G101">
        <f t="shared" ca="1" si="11"/>
        <v>94</v>
      </c>
    </row>
    <row r="102" spans="1:7" x14ac:dyDescent="0.3">
      <c r="A102">
        <v>1101</v>
      </c>
      <c r="B102" t="str">
        <f t="shared" si="6"/>
        <v>Raw Material</v>
      </c>
      <c r="C102" t="str">
        <f t="shared" si="7"/>
        <v>Industrial Raw Material Grade-1101</v>
      </c>
      <c r="D102" t="str">
        <f t="shared" si="8"/>
        <v>Kg</v>
      </c>
      <c r="E102">
        <f t="shared" ca="1" si="9"/>
        <v>248</v>
      </c>
      <c r="F102">
        <f t="shared" ca="1" si="10"/>
        <v>1414</v>
      </c>
      <c r="G102">
        <f t="shared" ca="1" si="11"/>
        <v>42</v>
      </c>
    </row>
    <row r="103" spans="1:7" x14ac:dyDescent="0.3">
      <c r="A103">
        <v>1102</v>
      </c>
      <c r="B103" t="str">
        <f t="shared" si="6"/>
        <v>Raw Material</v>
      </c>
      <c r="C103" t="str">
        <f t="shared" si="7"/>
        <v>Industrial Raw Material Grade-1102</v>
      </c>
      <c r="D103" t="str">
        <f t="shared" si="8"/>
        <v>Kg</v>
      </c>
      <c r="E103">
        <f t="shared" ca="1" si="9"/>
        <v>177</v>
      </c>
      <c r="F103">
        <f t="shared" ca="1" si="10"/>
        <v>917</v>
      </c>
      <c r="G103">
        <f t="shared" ca="1" si="11"/>
        <v>84</v>
      </c>
    </row>
    <row r="104" spans="1:7" x14ac:dyDescent="0.3">
      <c r="A104">
        <v>1103</v>
      </c>
      <c r="B104" t="str">
        <f t="shared" si="6"/>
        <v>Raw Material</v>
      </c>
      <c r="C104" t="str">
        <f t="shared" si="7"/>
        <v>Industrial Raw Material Grade-1103</v>
      </c>
      <c r="D104" t="str">
        <f t="shared" si="8"/>
        <v>Kg</v>
      </c>
      <c r="E104">
        <f t="shared" ca="1" si="9"/>
        <v>300</v>
      </c>
      <c r="F104">
        <f t="shared" ca="1" si="10"/>
        <v>775</v>
      </c>
      <c r="G104">
        <f t="shared" ca="1" si="11"/>
        <v>37</v>
      </c>
    </row>
    <row r="105" spans="1:7" x14ac:dyDescent="0.3">
      <c r="A105">
        <v>1104</v>
      </c>
      <c r="B105" t="str">
        <f t="shared" si="6"/>
        <v>Raw Material</v>
      </c>
      <c r="C105" t="str">
        <f t="shared" si="7"/>
        <v>Industrial Raw Material Grade-1104</v>
      </c>
      <c r="D105" t="str">
        <f t="shared" si="8"/>
        <v>Kg</v>
      </c>
      <c r="E105">
        <f t="shared" ca="1" si="9"/>
        <v>108</v>
      </c>
      <c r="F105">
        <f t="shared" ca="1" si="10"/>
        <v>1159</v>
      </c>
      <c r="G105">
        <f t="shared" ca="1" si="11"/>
        <v>32</v>
      </c>
    </row>
    <row r="106" spans="1:7" x14ac:dyDescent="0.3">
      <c r="A106">
        <v>1105</v>
      </c>
      <c r="B106" t="str">
        <f t="shared" si="6"/>
        <v>Raw Material</v>
      </c>
      <c r="C106" t="str">
        <f t="shared" si="7"/>
        <v>Industrial Raw Material Grade-1105</v>
      </c>
      <c r="D106" t="str">
        <f t="shared" si="8"/>
        <v>Kg</v>
      </c>
      <c r="E106">
        <f t="shared" ca="1" si="9"/>
        <v>395</v>
      </c>
      <c r="F106">
        <f t="shared" ca="1" si="10"/>
        <v>1432</v>
      </c>
      <c r="G106">
        <f t="shared" ca="1" si="11"/>
        <v>112</v>
      </c>
    </row>
    <row r="107" spans="1:7" x14ac:dyDescent="0.3">
      <c r="A107">
        <v>1106</v>
      </c>
      <c r="B107" t="str">
        <f t="shared" si="6"/>
        <v>Raw Material</v>
      </c>
      <c r="C107" t="str">
        <f t="shared" si="7"/>
        <v>Industrial Raw Material Grade-1106</v>
      </c>
      <c r="D107" t="str">
        <f t="shared" si="8"/>
        <v>Kg</v>
      </c>
      <c r="E107">
        <f t="shared" ca="1" si="9"/>
        <v>367</v>
      </c>
      <c r="F107">
        <f t="shared" ca="1" si="10"/>
        <v>416</v>
      </c>
      <c r="G107">
        <f t="shared" ca="1" si="11"/>
        <v>35</v>
      </c>
    </row>
    <row r="108" spans="1:7" x14ac:dyDescent="0.3">
      <c r="A108">
        <v>1107</v>
      </c>
      <c r="B108" t="str">
        <f t="shared" si="6"/>
        <v>Raw Material</v>
      </c>
      <c r="C108" t="str">
        <f t="shared" si="7"/>
        <v>Industrial Raw Material Grade-1107</v>
      </c>
      <c r="D108" t="str">
        <f t="shared" si="8"/>
        <v>Kg</v>
      </c>
      <c r="E108">
        <f t="shared" ca="1" si="9"/>
        <v>89</v>
      </c>
      <c r="F108">
        <f t="shared" ca="1" si="10"/>
        <v>1249</v>
      </c>
      <c r="G108">
        <f t="shared" ca="1" si="11"/>
        <v>112</v>
      </c>
    </row>
    <row r="109" spans="1:7" x14ac:dyDescent="0.3">
      <c r="A109">
        <v>1108</v>
      </c>
      <c r="B109" t="str">
        <f t="shared" si="6"/>
        <v>Raw Material</v>
      </c>
      <c r="C109" t="str">
        <f t="shared" si="7"/>
        <v>Industrial Raw Material Grade-1108</v>
      </c>
      <c r="D109" t="str">
        <f t="shared" si="8"/>
        <v>Kg</v>
      </c>
      <c r="E109">
        <f t="shared" ca="1" si="9"/>
        <v>208</v>
      </c>
      <c r="F109">
        <f t="shared" ca="1" si="10"/>
        <v>352</v>
      </c>
      <c r="G109">
        <f t="shared" ca="1" si="11"/>
        <v>105</v>
      </c>
    </row>
    <row r="110" spans="1:7" x14ac:dyDescent="0.3">
      <c r="A110">
        <v>1109</v>
      </c>
      <c r="B110" t="str">
        <f t="shared" si="6"/>
        <v>Raw Material</v>
      </c>
      <c r="C110" t="str">
        <f t="shared" si="7"/>
        <v>Industrial Raw Material Grade-1109</v>
      </c>
      <c r="D110" t="str">
        <f t="shared" si="8"/>
        <v>Kg</v>
      </c>
      <c r="E110">
        <f t="shared" ca="1" si="9"/>
        <v>425</v>
      </c>
      <c r="F110">
        <f t="shared" ca="1" si="10"/>
        <v>1402</v>
      </c>
      <c r="G110">
        <f t="shared" ca="1" si="11"/>
        <v>67</v>
      </c>
    </row>
    <row r="111" spans="1:7" x14ac:dyDescent="0.3">
      <c r="A111">
        <v>1110</v>
      </c>
      <c r="B111" t="str">
        <f t="shared" si="6"/>
        <v>Raw Material</v>
      </c>
      <c r="C111" t="str">
        <f t="shared" si="7"/>
        <v>Industrial Raw Material Grade-1110</v>
      </c>
      <c r="D111" t="str">
        <f t="shared" si="8"/>
        <v>Kg</v>
      </c>
      <c r="E111">
        <f t="shared" ca="1" si="9"/>
        <v>55</v>
      </c>
      <c r="F111">
        <f t="shared" ca="1" si="10"/>
        <v>1421</v>
      </c>
      <c r="G111">
        <f t="shared" ca="1" si="11"/>
        <v>81</v>
      </c>
    </row>
    <row r="112" spans="1:7" x14ac:dyDescent="0.3">
      <c r="A112">
        <v>1111</v>
      </c>
      <c r="B112" t="str">
        <f t="shared" si="6"/>
        <v>Raw Material</v>
      </c>
      <c r="C112" t="str">
        <f t="shared" si="7"/>
        <v>Industrial Raw Material Grade-1111</v>
      </c>
      <c r="D112" t="str">
        <f t="shared" si="8"/>
        <v>Kg</v>
      </c>
      <c r="E112">
        <f t="shared" ca="1" si="9"/>
        <v>142</v>
      </c>
      <c r="F112">
        <f t="shared" ca="1" si="10"/>
        <v>349</v>
      </c>
      <c r="G112">
        <f t="shared" ca="1" si="11"/>
        <v>102</v>
      </c>
    </row>
    <row r="113" spans="1:7" x14ac:dyDescent="0.3">
      <c r="A113">
        <v>1112</v>
      </c>
      <c r="B113" t="str">
        <f t="shared" si="6"/>
        <v>Raw Material</v>
      </c>
      <c r="C113" t="str">
        <f t="shared" si="7"/>
        <v>Industrial Raw Material Grade-1112</v>
      </c>
      <c r="D113" t="str">
        <f t="shared" si="8"/>
        <v>Kg</v>
      </c>
      <c r="E113">
        <f t="shared" ca="1" si="9"/>
        <v>408</v>
      </c>
      <c r="F113">
        <f t="shared" ca="1" si="10"/>
        <v>1487</v>
      </c>
      <c r="G113">
        <f t="shared" ca="1" si="11"/>
        <v>115</v>
      </c>
    </row>
    <row r="114" spans="1:7" x14ac:dyDescent="0.3">
      <c r="A114">
        <v>1113</v>
      </c>
      <c r="B114" t="str">
        <f t="shared" si="6"/>
        <v>Raw Material</v>
      </c>
      <c r="C114" t="str">
        <f t="shared" si="7"/>
        <v>Industrial Raw Material Grade-1113</v>
      </c>
      <c r="D114" t="str">
        <f t="shared" si="8"/>
        <v>Kg</v>
      </c>
      <c r="E114">
        <f t="shared" ca="1" si="9"/>
        <v>337</v>
      </c>
      <c r="F114">
        <f t="shared" ca="1" si="10"/>
        <v>990</v>
      </c>
      <c r="G114">
        <f t="shared" ca="1" si="11"/>
        <v>61</v>
      </c>
    </row>
    <row r="115" spans="1:7" x14ac:dyDescent="0.3">
      <c r="A115">
        <v>1114</v>
      </c>
      <c r="B115" t="str">
        <f t="shared" si="6"/>
        <v>Raw Material</v>
      </c>
      <c r="C115" t="str">
        <f t="shared" si="7"/>
        <v>Industrial Raw Material Grade-1114</v>
      </c>
      <c r="D115" t="str">
        <f t="shared" si="8"/>
        <v>Kg</v>
      </c>
      <c r="E115">
        <f t="shared" ca="1" si="9"/>
        <v>326</v>
      </c>
      <c r="F115">
        <f t="shared" ca="1" si="10"/>
        <v>1319</v>
      </c>
      <c r="G115">
        <f t="shared" ca="1" si="11"/>
        <v>31</v>
      </c>
    </row>
    <row r="116" spans="1:7" x14ac:dyDescent="0.3">
      <c r="A116">
        <v>1115</v>
      </c>
      <c r="B116" t="str">
        <f t="shared" si="6"/>
        <v>Raw Material</v>
      </c>
      <c r="C116" t="str">
        <f t="shared" si="7"/>
        <v>Industrial Raw Material Grade-1115</v>
      </c>
      <c r="D116" t="str">
        <f t="shared" si="8"/>
        <v>Kg</v>
      </c>
      <c r="E116">
        <f t="shared" ca="1" si="9"/>
        <v>100</v>
      </c>
      <c r="F116">
        <f t="shared" ca="1" si="10"/>
        <v>1199</v>
      </c>
      <c r="G116">
        <f t="shared" ca="1" si="11"/>
        <v>84</v>
      </c>
    </row>
    <row r="117" spans="1:7" x14ac:dyDescent="0.3">
      <c r="A117">
        <v>1116</v>
      </c>
      <c r="B117" t="str">
        <f t="shared" si="6"/>
        <v>Raw Material</v>
      </c>
      <c r="C117" t="str">
        <f t="shared" si="7"/>
        <v>Industrial Raw Material Grade-1116</v>
      </c>
      <c r="D117" t="str">
        <f t="shared" si="8"/>
        <v>Kg</v>
      </c>
      <c r="E117">
        <f t="shared" ca="1" si="9"/>
        <v>416</v>
      </c>
      <c r="F117">
        <f t="shared" ca="1" si="10"/>
        <v>1422</v>
      </c>
      <c r="G117">
        <f t="shared" ca="1" si="11"/>
        <v>115</v>
      </c>
    </row>
    <row r="118" spans="1:7" x14ac:dyDescent="0.3">
      <c r="A118">
        <v>1117</v>
      </c>
      <c r="B118" t="str">
        <f t="shared" si="6"/>
        <v>Raw Material</v>
      </c>
      <c r="C118" t="str">
        <f t="shared" si="7"/>
        <v>Industrial Raw Material Grade-1117</v>
      </c>
      <c r="D118" t="str">
        <f t="shared" si="8"/>
        <v>Kg</v>
      </c>
      <c r="E118">
        <f t="shared" ca="1" si="9"/>
        <v>62</v>
      </c>
      <c r="F118">
        <f t="shared" ca="1" si="10"/>
        <v>1153</v>
      </c>
      <c r="G118">
        <f t="shared" ca="1" si="11"/>
        <v>104</v>
      </c>
    </row>
    <row r="119" spans="1:7" x14ac:dyDescent="0.3">
      <c r="A119">
        <v>1118</v>
      </c>
      <c r="B119" t="str">
        <f t="shared" si="6"/>
        <v>Raw Material</v>
      </c>
      <c r="C119" t="str">
        <f t="shared" si="7"/>
        <v>Industrial Raw Material Grade-1118</v>
      </c>
      <c r="D119" t="str">
        <f t="shared" si="8"/>
        <v>Kg</v>
      </c>
      <c r="E119">
        <f t="shared" ca="1" si="9"/>
        <v>309</v>
      </c>
      <c r="F119">
        <f t="shared" ca="1" si="10"/>
        <v>526</v>
      </c>
      <c r="G119">
        <f t="shared" ca="1" si="11"/>
        <v>99</v>
      </c>
    </row>
    <row r="120" spans="1:7" x14ac:dyDescent="0.3">
      <c r="A120">
        <v>1119</v>
      </c>
      <c r="B120" t="str">
        <f t="shared" si="6"/>
        <v>Raw Material</v>
      </c>
      <c r="C120" t="str">
        <f t="shared" si="7"/>
        <v>Industrial Raw Material Grade-1119</v>
      </c>
      <c r="D120" t="str">
        <f t="shared" si="8"/>
        <v>Kg</v>
      </c>
      <c r="E120">
        <f t="shared" ca="1" si="9"/>
        <v>150</v>
      </c>
      <c r="F120">
        <f t="shared" ca="1" si="10"/>
        <v>745</v>
      </c>
      <c r="G120">
        <f t="shared" ca="1" si="11"/>
        <v>95</v>
      </c>
    </row>
    <row r="121" spans="1:7" x14ac:dyDescent="0.3">
      <c r="A121">
        <v>1120</v>
      </c>
      <c r="B121" t="str">
        <f t="shared" si="6"/>
        <v>Raw Material</v>
      </c>
      <c r="C121" t="str">
        <f t="shared" si="7"/>
        <v>Industrial Raw Material Grade-1120</v>
      </c>
      <c r="D121" t="str">
        <f t="shared" si="8"/>
        <v>Kg</v>
      </c>
      <c r="E121">
        <f t="shared" ca="1" si="9"/>
        <v>278</v>
      </c>
      <c r="F121">
        <f t="shared" ca="1" si="10"/>
        <v>315</v>
      </c>
      <c r="G121">
        <f t="shared" ca="1" si="11"/>
        <v>94</v>
      </c>
    </row>
    <row r="122" spans="1:7" x14ac:dyDescent="0.3">
      <c r="A122">
        <v>1121</v>
      </c>
      <c r="B122" t="str">
        <f t="shared" si="6"/>
        <v>Raw Material</v>
      </c>
      <c r="C122" t="str">
        <f t="shared" si="7"/>
        <v>Industrial Raw Material Grade-1121</v>
      </c>
      <c r="D122" t="str">
        <f t="shared" si="8"/>
        <v>Kg</v>
      </c>
      <c r="E122">
        <f t="shared" ca="1" si="9"/>
        <v>409</v>
      </c>
      <c r="F122">
        <f t="shared" ca="1" si="10"/>
        <v>745</v>
      </c>
      <c r="G122">
        <f t="shared" ca="1" si="11"/>
        <v>119</v>
      </c>
    </row>
    <row r="123" spans="1:7" x14ac:dyDescent="0.3">
      <c r="A123">
        <v>1122</v>
      </c>
      <c r="B123" t="str">
        <f t="shared" si="6"/>
        <v>Raw Material</v>
      </c>
      <c r="C123" t="str">
        <f t="shared" si="7"/>
        <v>Industrial Raw Material Grade-1122</v>
      </c>
      <c r="D123" t="str">
        <f t="shared" si="8"/>
        <v>Kg</v>
      </c>
      <c r="E123">
        <f t="shared" ca="1" si="9"/>
        <v>250</v>
      </c>
      <c r="F123">
        <f t="shared" ca="1" si="10"/>
        <v>966</v>
      </c>
      <c r="G123">
        <f t="shared" ca="1" si="11"/>
        <v>91</v>
      </c>
    </row>
    <row r="124" spans="1:7" x14ac:dyDescent="0.3">
      <c r="A124">
        <v>1123</v>
      </c>
      <c r="B124" t="str">
        <f t="shared" si="6"/>
        <v>Raw Material</v>
      </c>
      <c r="C124" t="str">
        <f t="shared" si="7"/>
        <v>Industrial Raw Material Grade-1123</v>
      </c>
      <c r="D124" t="str">
        <f t="shared" si="8"/>
        <v>Kg</v>
      </c>
      <c r="E124">
        <f t="shared" ca="1" si="9"/>
        <v>443</v>
      </c>
      <c r="F124">
        <f t="shared" ca="1" si="10"/>
        <v>446</v>
      </c>
      <c r="G124">
        <f t="shared" ca="1" si="11"/>
        <v>53</v>
      </c>
    </row>
    <row r="125" spans="1:7" x14ac:dyDescent="0.3">
      <c r="A125">
        <v>1124</v>
      </c>
      <c r="B125" t="str">
        <f t="shared" si="6"/>
        <v>Raw Material</v>
      </c>
      <c r="C125" t="str">
        <f t="shared" si="7"/>
        <v>Industrial Raw Material Grade-1124</v>
      </c>
      <c r="D125" t="str">
        <f t="shared" si="8"/>
        <v>Kg</v>
      </c>
      <c r="E125">
        <f t="shared" ca="1" si="9"/>
        <v>435</v>
      </c>
      <c r="F125">
        <f t="shared" ca="1" si="10"/>
        <v>1021</v>
      </c>
      <c r="G125">
        <f t="shared" ca="1" si="11"/>
        <v>54</v>
      </c>
    </row>
    <row r="126" spans="1:7" x14ac:dyDescent="0.3">
      <c r="A126">
        <v>1125</v>
      </c>
      <c r="B126" t="str">
        <f t="shared" si="6"/>
        <v>Raw Material</v>
      </c>
      <c r="C126" t="str">
        <f t="shared" si="7"/>
        <v>Industrial Raw Material Grade-1125</v>
      </c>
      <c r="D126" t="str">
        <f t="shared" si="8"/>
        <v>Kg</v>
      </c>
      <c r="E126">
        <f t="shared" ca="1" si="9"/>
        <v>189</v>
      </c>
      <c r="F126">
        <f t="shared" ca="1" si="10"/>
        <v>565</v>
      </c>
      <c r="G126">
        <f t="shared" ca="1" si="11"/>
        <v>34</v>
      </c>
    </row>
    <row r="127" spans="1:7" x14ac:dyDescent="0.3">
      <c r="A127">
        <v>1126</v>
      </c>
      <c r="B127" t="str">
        <f t="shared" si="6"/>
        <v>Raw Material</v>
      </c>
      <c r="C127" t="str">
        <f t="shared" si="7"/>
        <v>Industrial Raw Material Grade-1126</v>
      </c>
      <c r="D127" t="str">
        <f t="shared" si="8"/>
        <v>Kg</v>
      </c>
      <c r="E127">
        <f t="shared" ca="1" si="9"/>
        <v>162</v>
      </c>
      <c r="F127">
        <f t="shared" ca="1" si="10"/>
        <v>580</v>
      </c>
      <c r="G127">
        <f t="shared" ca="1" si="11"/>
        <v>140</v>
      </c>
    </row>
    <row r="128" spans="1:7" x14ac:dyDescent="0.3">
      <c r="A128">
        <v>1127</v>
      </c>
      <c r="B128" t="str">
        <f t="shared" si="6"/>
        <v>Raw Material</v>
      </c>
      <c r="C128" t="str">
        <f t="shared" si="7"/>
        <v>Industrial Raw Material Grade-1127</v>
      </c>
      <c r="D128" t="str">
        <f t="shared" si="8"/>
        <v>Kg</v>
      </c>
      <c r="E128">
        <f t="shared" ca="1" si="9"/>
        <v>307</v>
      </c>
      <c r="F128">
        <f t="shared" ca="1" si="10"/>
        <v>973</v>
      </c>
      <c r="G128">
        <f t="shared" ca="1" si="11"/>
        <v>135</v>
      </c>
    </row>
    <row r="129" spans="1:7" x14ac:dyDescent="0.3">
      <c r="A129">
        <v>1128</v>
      </c>
      <c r="B129" t="str">
        <f t="shared" si="6"/>
        <v>Raw Material</v>
      </c>
      <c r="C129" t="str">
        <f t="shared" si="7"/>
        <v>Industrial Raw Material Grade-1128</v>
      </c>
      <c r="D129" t="str">
        <f t="shared" si="8"/>
        <v>Kg</v>
      </c>
      <c r="E129">
        <f t="shared" ca="1" si="9"/>
        <v>281</v>
      </c>
      <c r="F129">
        <f t="shared" ca="1" si="10"/>
        <v>609</v>
      </c>
      <c r="G129">
        <f t="shared" ca="1" si="11"/>
        <v>89</v>
      </c>
    </row>
    <row r="130" spans="1:7" x14ac:dyDescent="0.3">
      <c r="A130">
        <v>1129</v>
      </c>
      <c r="B130" t="str">
        <f t="shared" si="6"/>
        <v>Raw Material</v>
      </c>
      <c r="C130" t="str">
        <f t="shared" si="7"/>
        <v>Industrial Raw Material Grade-1129</v>
      </c>
      <c r="D130" t="str">
        <f t="shared" si="8"/>
        <v>Kg</v>
      </c>
      <c r="E130">
        <f t="shared" ca="1" si="9"/>
        <v>377</v>
      </c>
      <c r="F130">
        <f t="shared" ca="1" si="10"/>
        <v>851</v>
      </c>
      <c r="G130">
        <f t="shared" ca="1" si="11"/>
        <v>39</v>
      </c>
    </row>
    <row r="131" spans="1:7" x14ac:dyDescent="0.3">
      <c r="A131">
        <v>1130</v>
      </c>
      <c r="B131" t="str">
        <f t="shared" ref="B131:B150" si="12">IF(A131&lt;=1200, "Raw Material", "Finished Part")</f>
        <v>Raw Material</v>
      </c>
      <c r="C131" t="str">
        <f t="shared" ref="C131:C150" si="13">IF(B131="Raw Material", "Industrial Raw Material Grade-" &amp; A131, "Precision Component Model-" &amp; A131)</f>
        <v>Industrial Raw Material Grade-1130</v>
      </c>
      <c r="D131" t="str">
        <f t="shared" ref="D131:D150" si="14">IF(B131="Raw Material", "Kg", "Pieces")</f>
        <v>Kg</v>
      </c>
      <c r="E131">
        <f t="shared" ref="E131:E150" ca="1" si="15">RANDBETWEEN(50, 450)</f>
        <v>198</v>
      </c>
      <c r="F131">
        <f t="shared" ref="F131:F150" ca="1" si="16">RANDBETWEEN(300, 1500)</f>
        <v>715</v>
      </c>
      <c r="G131">
        <f t="shared" ref="G131:G150" ca="1" si="17">RANDBETWEEN(20, 150)</f>
        <v>134</v>
      </c>
    </row>
    <row r="132" spans="1:7" x14ac:dyDescent="0.3">
      <c r="A132">
        <v>1131</v>
      </c>
      <c r="B132" t="str">
        <f t="shared" si="12"/>
        <v>Raw Material</v>
      </c>
      <c r="C132" t="str">
        <f t="shared" si="13"/>
        <v>Industrial Raw Material Grade-1131</v>
      </c>
      <c r="D132" t="str">
        <f t="shared" si="14"/>
        <v>Kg</v>
      </c>
      <c r="E132">
        <f t="shared" ca="1" si="15"/>
        <v>117</v>
      </c>
      <c r="F132">
        <f t="shared" ca="1" si="16"/>
        <v>472</v>
      </c>
      <c r="G132">
        <f t="shared" ca="1" si="17"/>
        <v>96</v>
      </c>
    </row>
    <row r="133" spans="1:7" x14ac:dyDescent="0.3">
      <c r="A133">
        <v>1132</v>
      </c>
      <c r="B133" t="str">
        <f t="shared" si="12"/>
        <v>Raw Material</v>
      </c>
      <c r="C133" t="str">
        <f t="shared" si="13"/>
        <v>Industrial Raw Material Grade-1132</v>
      </c>
      <c r="D133" t="str">
        <f t="shared" si="14"/>
        <v>Kg</v>
      </c>
      <c r="E133">
        <f t="shared" ca="1" si="15"/>
        <v>169</v>
      </c>
      <c r="F133">
        <f t="shared" ca="1" si="16"/>
        <v>1348</v>
      </c>
      <c r="G133">
        <f t="shared" ca="1" si="17"/>
        <v>118</v>
      </c>
    </row>
    <row r="134" spans="1:7" x14ac:dyDescent="0.3">
      <c r="A134">
        <v>1133</v>
      </c>
      <c r="B134" t="str">
        <f t="shared" si="12"/>
        <v>Raw Material</v>
      </c>
      <c r="C134" t="str">
        <f t="shared" si="13"/>
        <v>Industrial Raw Material Grade-1133</v>
      </c>
      <c r="D134" t="str">
        <f t="shared" si="14"/>
        <v>Kg</v>
      </c>
      <c r="E134">
        <f t="shared" ca="1" si="15"/>
        <v>400</v>
      </c>
      <c r="F134">
        <f t="shared" ca="1" si="16"/>
        <v>1147</v>
      </c>
      <c r="G134">
        <f t="shared" ca="1" si="17"/>
        <v>48</v>
      </c>
    </row>
    <row r="135" spans="1:7" x14ac:dyDescent="0.3">
      <c r="A135">
        <v>1134</v>
      </c>
      <c r="B135" t="str">
        <f t="shared" si="12"/>
        <v>Raw Material</v>
      </c>
      <c r="C135" t="str">
        <f t="shared" si="13"/>
        <v>Industrial Raw Material Grade-1134</v>
      </c>
      <c r="D135" t="str">
        <f t="shared" si="14"/>
        <v>Kg</v>
      </c>
      <c r="E135">
        <f t="shared" ca="1" si="15"/>
        <v>339</v>
      </c>
      <c r="F135">
        <f t="shared" ca="1" si="16"/>
        <v>678</v>
      </c>
      <c r="G135">
        <f t="shared" ca="1" si="17"/>
        <v>20</v>
      </c>
    </row>
    <row r="136" spans="1:7" x14ac:dyDescent="0.3">
      <c r="A136">
        <v>1135</v>
      </c>
      <c r="B136" t="str">
        <f t="shared" si="12"/>
        <v>Raw Material</v>
      </c>
      <c r="C136" t="str">
        <f t="shared" si="13"/>
        <v>Industrial Raw Material Grade-1135</v>
      </c>
      <c r="D136" t="str">
        <f t="shared" si="14"/>
        <v>Kg</v>
      </c>
      <c r="E136">
        <f t="shared" ca="1" si="15"/>
        <v>150</v>
      </c>
      <c r="F136">
        <f t="shared" ca="1" si="16"/>
        <v>674</v>
      </c>
      <c r="G136">
        <f t="shared" ca="1" si="17"/>
        <v>147</v>
      </c>
    </row>
    <row r="137" spans="1:7" x14ac:dyDescent="0.3">
      <c r="A137">
        <v>1136</v>
      </c>
      <c r="B137" t="str">
        <f t="shared" si="12"/>
        <v>Raw Material</v>
      </c>
      <c r="C137" t="str">
        <f t="shared" si="13"/>
        <v>Industrial Raw Material Grade-1136</v>
      </c>
      <c r="D137" t="str">
        <f t="shared" si="14"/>
        <v>Kg</v>
      </c>
      <c r="E137">
        <f t="shared" ca="1" si="15"/>
        <v>67</v>
      </c>
      <c r="F137">
        <f t="shared" ca="1" si="16"/>
        <v>795</v>
      </c>
      <c r="G137">
        <f t="shared" ca="1" si="17"/>
        <v>143</v>
      </c>
    </row>
    <row r="138" spans="1:7" x14ac:dyDescent="0.3">
      <c r="A138">
        <v>1137</v>
      </c>
      <c r="B138" t="str">
        <f t="shared" si="12"/>
        <v>Raw Material</v>
      </c>
      <c r="C138" t="str">
        <f t="shared" si="13"/>
        <v>Industrial Raw Material Grade-1137</v>
      </c>
      <c r="D138" t="str">
        <f t="shared" si="14"/>
        <v>Kg</v>
      </c>
      <c r="E138">
        <f t="shared" ca="1" si="15"/>
        <v>102</v>
      </c>
      <c r="F138">
        <f t="shared" ca="1" si="16"/>
        <v>1387</v>
      </c>
      <c r="G138">
        <f t="shared" ca="1" si="17"/>
        <v>52</v>
      </c>
    </row>
    <row r="139" spans="1:7" x14ac:dyDescent="0.3">
      <c r="A139">
        <v>1138</v>
      </c>
      <c r="B139" t="str">
        <f t="shared" si="12"/>
        <v>Raw Material</v>
      </c>
      <c r="C139" t="str">
        <f t="shared" si="13"/>
        <v>Industrial Raw Material Grade-1138</v>
      </c>
      <c r="D139" t="str">
        <f t="shared" si="14"/>
        <v>Kg</v>
      </c>
      <c r="E139">
        <f t="shared" ca="1" si="15"/>
        <v>244</v>
      </c>
      <c r="F139">
        <f t="shared" ca="1" si="16"/>
        <v>1461</v>
      </c>
      <c r="G139">
        <f t="shared" ca="1" si="17"/>
        <v>79</v>
      </c>
    </row>
    <row r="140" spans="1:7" x14ac:dyDescent="0.3">
      <c r="A140">
        <v>1139</v>
      </c>
      <c r="B140" t="str">
        <f t="shared" si="12"/>
        <v>Raw Material</v>
      </c>
      <c r="C140" t="str">
        <f t="shared" si="13"/>
        <v>Industrial Raw Material Grade-1139</v>
      </c>
      <c r="D140" t="str">
        <f t="shared" si="14"/>
        <v>Kg</v>
      </c>
      <c r="E140">
        <f t="shared" ca="1" si="15"/>
        <v>236</v>
      </c>
      <c r="F140">
        <f t="shared" ca="1" si="16"/>
        <v>1325</v>
      </c>
      <c r="G140">
        <f t="shared" ca="1" si="17"/>
        <v>97</v>
      </c>
    </row>
    <row r="141" spans="1:7" x14ac:dyDescent="0.3">
      <c r="A141">
        <v>1140</v>
      </c>
      <c r="B141" t="str">
        <f t="shared" si="12"/>
        <v>Raw Material</v>
      </c>
      <c r="C141" t="str">
        <f t="shared" si="13"/>
        <v>Industrial Raw Material Grade-1140</v>
      </c>
      <c r="D141" t="str">
        <f t="shared" si="14"/>
        <v>Kg</v>
      </c>
      <c r="E141">
        <f t="shared" ca="1" si="15"/>
        <v>320</v>
      </c>
      <c r="F141">
        <f t="shared" ca="1" si="16"/>
        <v>1415</v>
      </c>
      <c r="G141">
        <f t="shared" ca="1" si="17"/>
        <v>50</v>
      </c>
    </row>
    <row r="142" spans="1:7" x14ac:dyDescent="0.3">
      <c r="A142">
        <v>1141</v>
      </c>
      <c r="B142" t="str">
        <f t="shared" si="12"/>
        <v>Raw Material</v>
      </c>
      <c r="C142" t="str">
        <f t="shared" si="13"/>
        <v>Industrial Raw Material Grade-1141</v>
      </c>
      <c r="D142" t="str">
        <f t="shared" si="14"/>
        <v>Kg</v>
      </c>
      <c r="E142">
        <f t="shared" ca="1" si="15"/>
        <v>197</v>
      </c>
      <c r="F142">
        <f t="shared" ca="1" si="16"/>
        <v>1399</v>
      </c>
      <c r="G142">
        <f t="shared" ca="1" si="17"/>
        <v>134</v>
      </c>
    </row>
    <row r="143" spans="1:7" x14ac:dyDescent="0.3">
      <c r="A143">
        <v>1142</v>
      </c>
      <c r="B143" t="str">
        <f t="shared" si="12"/>
        <v>Raw Material</v>
      </c>
      <c r="C143" t="str">
        <f t="shared" si="13"/>
        <v>Industrial Raw Material Grade-1142</v>
      </c>
      <c r="D143" t="str">
        <f t="shared" si="14"/>
        <v>Kg</v>
      </c>
      <c r="E143">
        <f t="shared" ca="1" si="15"/>
        <v>437</v>
      </c>
      <c r="F143">
        <f t="shared" ca="1" si="16"/>
        <v>396</v>
      </c>
      <c r="G143">
        <f t="shared" ca="1" si="17"/>
        <v>76</v>
      </c>
    </row>
    <row r="144" spans="1:7" x14ac:dyDescent="0.3">
      <c r="A144">
        <v>1143</v>
      </c>
      <c r="B144" t="str">
        <f t="shared" si="12"/>
        <v>Raw Material</v>
      </c>
      <c r="C144" t="str">
        <f t="shared" si="13"/>
        <v>Industrial Raw Material Grade-1143</v>
      </c>
      <c r="D144" t="str">
        <f t="shared" si="14"/>
        <v>Kg</v>
      </c>
      <c r="E144">
        <f t="shared" ca="1" si="15"/>
        <v>420</v>
      </c>
      <c r="F144">
        <f t="shared" ca="1" si="16"/>
        <v>703</v>
      </c>
      <c r="G144">
        <f t="shared" ca="1" si="17"/>
        <v>117</v>
      </c>
    </row>
    <row r="145" spans="1:7" x14ac:dyDescent="0.3">
      <c r="A145">
        <v>1144</v>
      </c>
      <c r="B145" t="str">
        <f t="shared" si="12"/>
        <v>Raw Material</v>
      </c>
      <c r="C145" t="str">
        <f t="shared" si="13"/>
        <v>Industrial Raw Material Grade-1144</v>
      </c>
      <c r="D145" t="str">
        <f t="shared" si="14"/>
        <v>Kg</v>
      </c>
      <c r="E145">
        <f t="shared" ca="1" si="15"/>
        <v>149</v>
      </c>
      <c r="F145">
        <f t="shared" ca="1" si="16"/>
        <v>1484</v>
      </c>
      <c r="G145">
        <f t="shared" ca="1" si="17"/>
        <v>55</v>
      </c>
    </row>
    <row r="146" spans="1:7" x14ac:dyDescent="0.3">
      <c r="A146">
        <v>1145</v>
      </c>
      <c r="B146" t="str">
        <f t="shared" si="12"/>
        <v>Raw Material</v>
      </c>
      <c r="C146" t="str">
        <f t="shared" si="13"/>
        <v>Industrial Raw Material Grade-1145</v>
      </c>
      <c r="D146" t="str">
        <f t="shared" si="14"/>
        <v>Kg</v>
      </c>
      <c r="E146">
        <f t="shared" ca="1" si="15"/>
        <v>160</v>
      </c>
      <c r="F146">
        <f t="shared" ca="1" si="16"/>
        <v>360</v>
      </c>
      <c r="G146">
        <f t="shared" ca="1" si="17"/>
        <v>80</v>
      </c>
    </row>
    <row r="147" spans="1:7" x14ac:dyDescent="0.3">
      <c r="A147">
        <v>1146</v>
      </c>
      <c r="B147" t="str">
        <f t="shared" si="12"/>
        <v>Raw Material</v>
      </c>
      <c r="C147" t="str">
        <f t="shared" si="13"/>
        <v>Industrial Raw Material Grade-1146</v>
      </c>
      <c r="D147" t="str">
        <f t="shared" si="14"/>
        <v>Kg</v>
      </c>
      <c r="E147">
        <f t="shared" ca="1" si="15"/>
        <v>107</v>
      </c>
      <c r="F147">
        <f t="shared" ca="1" si="16"/>
        <v>1434</v>
      </c>
      <c r="G147">
        <f t="shared" ca="1" si="17"/>
        <v>25</v>
      </c>
    </row>
    <row r="148" spans="1:7" x14ac:dyDescent="0.3">
      <c r="A148">
        <v>1147</v>
      </c>
      <c r="B148" t="str">
        <f t="shared" si="12"/>
        <v>Raw Material</v>
      </c>
      <c r="C148" t="str">
        <f t="shared" si="13"/>
        <v>Industrial Raw Material Grade-1147</v>
      </c>
      <c r="D148" t="str">
        <f t="shared" si="14"/>
        <v>Kg</v>
      </c>
      <c r="E148">
        <f t="shared" ca="1" si="15"/>
        <v>118</v>
      </c>
      <c r="F148">
        <f t="shared" ca="1" si="16"/>
        <v>394</v>
      </c>
      <c r="G148">
        <f t="shared" ca="1" si="17"/>
        <v>132</v>
      </c>
    </row>
    <row r="149" spans="1:7" x14ac:dyDescent="0.3">
      <c r="A149">
        <v>1148</v>
      </c>
      <c r="B149" t="str">
        <f t="shared" si="12"/>
        <v>Raw Material</v>
      </c>
      <c r="C149" t="str">
        <f t="shared" si="13"/>
        <v>Industrial Raw Material Grade-1148</v>
      </c>
      <c r="D149" t="str">
        <f t="shared" si="14"/>
        <v>Kg</v>
      </c>
      <c r="E149">
        <f t="shared" ca="1" si="15"/>
        <v>345</v>
      </c>
      <c r="F149">
        <f t="shared" ca="1" si="16"/>
        <v>601</v>
      </c>
      <c r="G149">
        <f t="shared" ca="1" si="17"/>
        <v>91</v>
      </c>
    </row>
    <row r="150" spans="1:7" x14ac:dyDescent="0.3">
      <c r="A150">
        <v>1149</v>
      </c>
      <c r="B150" t="str">
        <f t="shared" si="12"/>
        <v>Raw Material</v>
      </c>
      <c r="C150" t="str">
        <f t="shared" si="13"/>
        <v>Industrial Raw Material Grade-1149</v>
      </c>
      <c r="D150" t="str">
        <f t="shared" si="14"/>
        <v>Kg</v>
      </c>
      <c r="E150">
        <f t="shared" ca="1" si="15"/>
        <v>351</v>
      </c>
      <c r="F150">
        <f t="shared" ca="1" si="16"/>
        <v>660</v>
      </c>
      <c r="G150">
        <f t="shared" ca="1" si="17"/>
        <v>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5F85-E941-49E2-8087-DF886988336F}">
  <dimension ref="A1:D150"/>
  <sheetViews>
    <sheetView workbookViewId="0">
      <selection activeCell="H11" sqref="H11"/>
    </sheetView>
  </sheetViews>
  <sheetFormatPr defaultRowHeight="14.4" x14ac:dyDescent="0.3"/>
  <cols>
    <col min="1" max="1" width="12" customWidth="1"/>
    <col min="2" max="2" width="28.77734375" customWidth="1"/>
    <col min="3" max="3" width="36" customWidth="1"/>
    <col min="4" max="4" width="17.77734375" customWidth="1"/>
  </cols>
  <sheetData>
    <row r="1" spans="1:4" x14ac:dyDescent="0.3">
      <c r="A1" t="s">
        <v>8</v>
      </c>
      <c r="B1" t="s">
        <v>9</v>
      </c>
      <c r="C1" t="s">
        <v>10</v>
      </c>
      <c r="D1" t="s">
        <v>11</v>
      </c>
    </row>
    <row r="2" spans="1:4" x14ac:dyDescent="0.3">
      <c r="A2" t="s">
        <v>12</v>
      </c>
      <c r="B2" t="s">
        <v>192</v>
      </c>
      <c r="C2" t="str">
        <f ca="1">"Industrial Area Zone " &amp; RANDBETWEEN(1,10) &amp; ", Mumbai"</f>
        <v>Industrial Area Zone 9, Mumbai</v>
      </c>
      <c r="D2" t="str">
        <f ca="1">CHOOSE(RANDBETWEEN(1,3), "Net 30 Days", "Net 60 Days", "Advance Payments")</f>
        <v>Net 30 Days</v>
      </c>
    </row>
    <row r="3" spans="1:4" x14ac:dyDescent="0.3">
      <c r="A3" t="s">
        <v>13</v>
      </c>
      <c r="B3" t="s">
        <v>193</v>
      </c>
      <c r="C3" t="str">
        <f t="shared" ref="C3:C66" ca="1" si="0">"Industrial Area Zone " &amp; RANDBETWEEN(1,10) &amp; ", Mumbai"</f>
        <v>Industrial Area Zone 3, Mumbai</v>
      </c>
      <c r="D3" t="str">
        <f t="shared" ref="D3:D66" ca="1" si="1">CHOOSE(RANDBETWEEN(1,3), "Net 30 Days", "Net 60 Days", "Advance Payments")</f>
        <v>Advance Payments</v>
      </c>
    </row>
    <row r="4" spans="1:4" x14ac:dyDescent="0.3">
      <c r="A4" t="s">
        <v>45</v>
      </c>
      <c r="B4" t="s">
        <v>194</v>
      </c>
      <c r="C4" t="str">
        <f t="shared" ca="1" si="0"/>
        <v>Industrial Area Zone 1, Mumbai</v>
      </c>
      <c r="D4" t="str">
        <f t="shared" ca="1" si="1"/>
        <v>Net 30 Days</v>
      </c>
    </row>
    <row r="5" spans="1:4" x14ac:dyDescent="0.3">
      <c r="A5" t="s">
        <v>46</v>
      </c>
      <c r="B5" t="s">
        <v>195</v>
      </c>
      <c r="C5" t="str">
        <f t="shared" ca="1" si="0"/>
        <v>Industrial Area Zone 5, Mumbai</v>
      </c>
      <c r="D5" t="str">
        <f t="shared" ca="1" si="1"/>
        <v>Advance Payments</v>
      </c>
    </row>
    <row r="6" spans="1:4" x14ac:dyDescent="0.3">
      <c r="A6" t="s">
        <v>47</v>
      </c>
      <c r="B6" t="s">
        <v>196</v>
      </c>
      <c r="C6" t="str">
        <f t="shared" ca="1" si="0"/>
        <v>Industrial Area Zone 6, Mumbai</v>
      </c>
      <c r="D6" t="str">
        <f t="shared" ca="1" si="1"/>
        <v>Advance Payments</v>
      </c>
    </row>
    <row r="7" spans="1:4" x14ac:dyDescent="0.3">
      <c r="A7" t="s">
        <v>48</v>
      </c>
      <c r="B7" t="s">
        <v>197</v>
      </c>
      <c r="C7" t="str">
        <f t="shared" ca="1" si="0"/>
        <v>Industrial Area Zone 6, Mumbai</v>
      </c>
      <c r="D7" t="str">
        <f t="shared" ca="1" si="1"/>
        <v>Net 60 Days</v>
      </c>
    </row>
    <row r="8" spans="1:4" x14ac:dyDescent="0.3">
      <c r="A8" t="s">
        <v>49</v>
      </c>
      <c r="B8" t="s">
        <v>198</v>
      </c>
      <c r="C8" t="str">
        <f t="shared" ca="1" si="0"/>
        <v>Industrial Area Zone 10, Mumbai</v>
      </c>
      <c r="D8" t="str">
        <f t="shared" ca="1" si="1"/>
        <v>Net 60 Days</v>
      </c>
    </row>
    <row r="9" spans="1:4" x14ac:dyDescent="0.3">
      <c r="A9" t="s">
        <v>50</v>
      </c>
      <c r="B9" t="s">
        <v>199</v>
      </c>
      <c r="C9" t="str">
        <f t="shared" ca="1" si="0"/>
        <v>Industrial Area Zone 7, Mumbai</v>
      </c>
      <c r="D9" t="str">
        <f t="shared" ca="1" si="1"/>
        <v>Advance Payments</v>
      </c>
    </row>
    <row r="10" spans="1:4" x14ac:dyDescent="0.3">
      <c r="A10" t="s">
        <v>51</v>
      </c>
      <c r="B10" t="s">
        <v>200</v>
      </c>
      <c r="C10" t="str">
        <f t="shared" ca="1" si="0"/>
        <v>Industrial Area Zone 2, Mumbai</v>
      </c>
      <c r="D10" t="str">
        <f t="shared" ca="1" si="1"/>
        <v>Advance Payments</v>
      </c>
    </row>
    <row r="11" spans="1:4" x14ac:dyDescent="0.3">
      <c r="A11" t="s">
        <v>52</v>
      </c>
      <c r="B11" t="s">
        <v>201</v>
      </c>
      <c r="C11" t="str">
        <f t="shared" ca="1" si="0"/>
        <v>Industrial Area Zone 1, Mumbai</v>
      </c>
      <c r="D11" t="str">
        <f t="shared" ca="1" si="1"/>
        <v>Net 60 Days</v>
      </c>
    </row>
    <row r="12" spans="1:4" x14ac:dyDescent="0.3">
      <c r="A12" t="s">
        <v>53</v>
      </c>
      <c r="B12" t="s">
        <v>202</v>
      </c>
      <c r="C12" t="str">
        <f t="shared" ca="1" si="0"/>
        <v>Industrial Area Zone 1, Mumbai</v>
      </c>
      <c r="D12" t="str">
        <f t="shared" ca="1" si="1"/>
        <v>Net 60 Days</v>
      </c>
    </row>
    <row r="13" spans="1:4" x14ac:dyDescent="0.3">
      <c r="A13" t="s">
        <v>54</v>
      </c>
      <c r="B13" t="s">
        <v>203</v>
      </c>
      <c r="C13" t="str">
        <f t="shared" ca="1" si="0"/>
        <v>Industrial Area Zone 1, Mumbai</v>
      </c>
      <c r="D13" t="str">
        <f t="shared" ca="1" si="1"/>
        <v>Advance Payments</v>
      </c>
    </row>
    <row r="14" spans="1:4" x14ac:dyDescent="0.3">
      <c r="A14" t="s">
        <v>55</v>
      </c>
      <c r="B14" t="s">
        <v>204</v>
      </c>
      <c r="C14" t="str">
        <f t="shared" ca="1" si="0"/>
        <v>Industrial Area Zone 10, Mumbai</v>
      </c>
      <c r="D14" t="str">
        <f t="shared" ca="1" si="1"/>
        <v>Net 30 Days</v>
      </c>
    </row>
    <row r="15" spans="1:4" x14ac:dyDescent="0.3">
      <c r="A15" t="s">
        <v>56</v>
      </c>
      <c r="B15" t="s">
        <v>205</v>
      </c>
      <c r="C15" t="str">
        <f t="shared" ca="1" si="0"/>
        <v>Industrial Area Zone 6, Mumbai</v>
      </c>
      <c r="D15" t="str">
        <f t="shared" ca="1" si="1"/>
        <v>Net 30 Days</v>
      </c>
    </row>
    <row r="16" spans="1:4" x14ac:dyDescent="0.3">
      <c r="A16" t="s">
        <v>57</v>
      </c>
      <c r="B16" t="s">
        <v>206</v>
      </c>
      <c r="C16" t="str">
        <f t="shared" ca="1" si="0"/>
        <v>Industrial Area Zone 7, Mumbai</v>
      </c>
      <c r="D16" t="str">
        <f t="shared" ca="1" si="1"/>
        <v>Net 30 Days</v>
      </c>
    </row>
    <row r="17" spans="1:4" x14ac:dyDescent="0.3">
      <c r="A17" t="s">
        <v>58</v>
      </c>
      <c r="B17" t="s">
        <v>207</v>
      </c>
      <c r="C17" t="str">
        <f t="shared" ca="1" si="0"/>
        <v>Industrial Area Zone 6, Mumbai</v>
      </c>
      <c r="D17" t="str">
        <f t="shared" ca="1" si="1"/>
        <v>Net 60 Days</v>
      </c>
    </row>
    <row r="18" spans="1:4" x14ac:dyDescent="0.3">
      <c r="A18" t="s">
        <v>59</v>
      </c>
      <c r="B18" t="s">
        <v>208</v>
      </c>
      <c r="C18" t="str">
        <f t="shared" ca="1" si="0"/>
        <v>Industrial Area Zone 8, Mumbai</v>
      </c>
      <c r="D18" t="str">
        <f t="shared" ca="1" si="1"/>
        <v>Net 60 Days</v>
      </c>
    </row>
    <row r="19" spans="1:4" x14ac:dyDescent="0.3">
      <c r="A19" t="s">
        <v>60</v>
      </c>
      <c r="B19" t="s">
        <v>209</v>
      </c>
      <c r="C19" t="str">
        <f t="shared" ca="1" si="0"/>
        <v>Industrial Area Zone 4, Mumbai</v>
      </c>
      <c r="D19" t="str">
        <f t="shared" ca="1" si="1"/>
        <v>Net 60 Days</v>
      </c>
    </row>
    <row r="20" spans="1:4" x14ac:dyDescent="0.3">
      <c r="A20" t="s">
        <v>61</v>
      </c>
      <c r="B20" t="s">
        <v>210</v>
      </c>
      <c r="C20" t="str">
        <f t="shared" ca="1" si="0"/>
        <v>Industrial Area Zone 9, Mumbai</v>
      </c>
      <c r="D20" t="str">
        <f t="shared" ca="1" si="1"/>
        <v>Advance Payments</v>
      </c>
    </row>
    <row r="21" spans="1:4" x14ac:dyDescent="0.3">
      <c r="A21" t="s">
        <v>62</v>
      </c>
      <c r="B21" t="s">
        <v>211</v>
      </c>
      <c r="C21" t="str">
        <f t="shared" ca="1" si="0"/>
        <v>Industrial Area Zone 7, Mumbai</v>
      </c>
      <c r="D21" t="str">
        <f t="shared" ca="1" si="1"/>
        <v>Net 60 Days</v>
      </c>
    </row>
    <row r="22" spans="1:4" x14ac:dyDescent="0.3">
      <c r="A22" t="s">
        <v>63</v>
      </c>
      <c r="B22" t="s">
        <v>212</v>
      </c>
      <c r="C22" t="str">
        <f t="shared" ca="1" si="0"/>
        <v>Industrial Area Zone 2, Mumbai</v>
      </c>
      <c r="D22" t="str">
        <f t="shared" ca="1" si="1"/>
        <v>Advance Payments</v>
      </c>
    </row>
    <row r="23" spans="1:4" x14ac:dyDescent="0.3">
      <c r="A23" t="s">
        <v>64</v>
      </c>
      <c r="B23" t="s">
        <v>213</v>
      </c>
      <c r="C23" t="str">
        <f t="shared" ca="1" si="0"/>
        <v>Industrial Area Zone 6, Mumbai</v>
      </c>
      <c r="D23" t="str">
        <f t="shared" ca="1" si="1"/>
        <v>Advance Payments</v>
      </c>
    </row>
    <row r="24" spans="1:4" x14ac:dyDescent="0.3">
      <c r="A24" t="s">
        <v>65</v>
      </c>
      <c r="B24" t="s">
        <v>214</v>
      </c>
      <c r="C24" t="str">
        <f t="shared" ca="1" si="0"/>
        <v>Industrial Area Zone 3, Mumbai</v>
      </c>
      <c r="D24" t="str">
        <f t="shared" ca="1" si="1"/>
        <v>Advance Payments</v>
      </c>
    </row>
    <row r="25" spans="1:4" x14ac:dyDescent="0.3">
      <c r="A25" t="s">
        <v>66</v>
      </c>
      <c r="B25" t="s">
        <v>215</v>
      </c>
      <c r="C25" t="str">
        <f t="shared" ca="1" si="0"/>
        <v>Industrial Area Zone 9, Mumbai</v>
      </c>
      <c r="D25" t="str">
        <f t="shared" ca="1" si="1"/>
        <v>Net 30 Days</v>
      </c>
    </row>
    <row r="26" spans="1:4" x14ac:dyDescent="0.3">
      <c r="A26" t="s">
        <v>67</v>
      </c>
      <c r="B26" t="s">
        <v>216</v>
      </c>
      <c r="C26" t="str">
        <f t="shared" ca="1" si="0"/>
        <v>Industrial Area Zone 2, Mumbai</v>
      </c>
      <c r="D26" t="str">
        <f t="shared" ca="1" si="1"/>
        <v>Net 60 Days</v>
      </c>
    </row>
    <row r="27" spans="1:4" x14ac:dyDescent="0.3">
      <c r="A27" t="s">
        <v>68</v>
      </c>
      <c r="B27" t="s">
        <v>217</v>
      </c>
      <c r="C27" t="str">
        <f t="shared" ca="1" si="0"/>
        <v>Industrial Area Zone 5, Mumbai</v>
      </c>
      <c r="D27" t="str">
        <f t="shared" ca="1" si="1"/>
        <v>Advance Payments</v>
      </c>
    </row>
    <row r="28" spans="1:4" x14ac:dyDescent="0.3">
      <c r="A28" t="s">
        <v>69</v>
      </c>
      <c r="B28" t="s">
        <v>218</v>
      </c>
      <c r="C28" t="str">
        <f t="shared" ca="1" si="0"/>
        <v>Industrial Area Zone 4, Mumbai</v>
      </c>
      <c r="D28" t="str">
        <f t="shared" ca="1" si="1"/>
        <v>Net 30 Days</v>
      </c>
    </row>
    <row r="29" spans="1:4" x14ac:dyDescent="0.3">
      <c r="A29" t="s">
        <v>70</v>
      </c>
      <c r="B29" t="s">
        <v>219</v>
      </c>
      <c r="C29" t="str">
        <f t="shared" ca="1" si="0"/>
        <v>Industrial Area Zone 3, Mumbai</v>
      </c>
      <c r="D29" t="str">
        <f t="shared" ca="1" si="1"/>
        <v>Advance Payments</v>
      </c>
    </row>
    <row r="30" spans="1:4" x14ac:dyDescent="0.3">
      <c r="A30" t="s">
        <v>71</v>
      </c>
      <c r="B30" t="s">
        <v>220</v>
      </c>
      <c r="C30" t="str">
        <f t="shared" ca="1" si="0"/>
        <v>Industrial Area Zone 1, Mumbai</v>
      </c>
      <c r="D30" t="str">
        <f t="shared" ca="1" si="1"/>
        <v>Advance Payments</v>
      </c>
    </row>
    <row r="31" spans="1:4" x14ac:dyDescent="0.3">
      <c r="A31" t="s">
        <v>72</v>
      </c>
      <c r="B31" t="s">
        <v>221</v>
      </c>
      <c r="C31" t="str">
        <f t="shared" ca="1" si="0"/>
        <v>Industrial Area Zone 6, Mumbai</v>
      </c>
      <c r="D31" t="str">
        <f t="shared" ca="1" si="1"/>
        <v>Net 30 Days</v>
      </c>
    </row>
    <row r="32" spans="1:4" x14ac:dyDescent="0.3">
      <c r="A32" t="s">
        <v>73</v>
      </c>
      <c r="B32" t="s">
        <v>222</v>
      </c>
      <c r="C32" t="str">
        <f t="shared" ca="1" si="0"/>
        <v>Industrial Area Zone 10, Mumbai</v>
      </c>
      <c r="D32" t="str">
        <f t="shared" ca="1" si="1"/>
        <v>Net 60 Days</v>
      </c>
    </row>
    <row r="33" spans="1:4" x14ac:dyDescent="0.3">
      <c r="A33" t="s">
        <v>74</v>
      </c>
      <c r="B33" t="s">
        <v>223</v>
      </c>
      <c r="C33" t="str">
        <f t="shared" ca="1" si="0"/>
        <v>Industrial Area Zone 9, Mumbai</v>
      </c>
      <c r="D33" t="str">
        <f t="shared" ca="1" si="1"/>
        <v>Net 30 Days</v>
      </c>
    </row>
    <row r="34" spans="1:4" x14ac:dyDescent="0.3">
      <c r="A34" t="s">
        <v>75</v>
      </c>
      <c r="B34" t="s">
        <v>224</v>
      </c>
      <c r="C34" t="str">
        <f t="shared" ca="1" si="0"/>
        <v>Industrial Area Zone 8, Mumbai</v>
      </c>
      <c r="D34" t="str">
        <f t="shared" ca="1" si="1"/>
        <v>Net 30 Days</v>
      </c>
    </row>
    <row r="35" spans="1:4" x14ac:dyDescent="0.3">
      <c r="A35" t="s">
        <v>76</v>
      </c>
      <c r="B35" t="s">
        <v>225</v>
      </c>
      <c r="C35" t="str">
        <f t="shared" ca="1" si="0"/>
        <v>Industrial Area Zone 3, Mumbai</v>
      </c>
      <c r="D35" t="str">
        <f t="shared" ca="1" si="1"/>
        <v>Net 30 Days</v>
      </c>
    </row>
    <row r="36" spans="1:4" x14ac:dyDescent="0.3">
      <c r="A36" t="s">
        <v>77</v>
      </c>
      <c r="B36" t="s">
        <v>226</v>
      </c>
      <c r="C36" t="str">
        <f t="shared" ca="1" si="0"/>
        <v>Industrial Area Zone 4, Mumbai</v>
      </c>
      <c r="D36" t="str">
        <f t="shared" ca="1" si="1"/>
        <v>Advance Payments</v>
      </c>
    </row>
    <row r="37" spans="1:4" x14ac:dyDescent="0.3">
      <c r="A37" t="s">
        <v>78</v>
      </c>
      <c r="B37" t="s">
        <v>227</v>
      </c>
      <c r="C37" t="str">
        <f t="shared" ca="1" si="0"/>
        <v>Industrial Area Zone 6, Mumbai</v>
      </c>
      <c r="D37" t="str">
        <f t="shared" ca="1" si="1"/>
        <v>Net 60 Days</v>
      </c>
    </row>
    <row r="38" spans="1:4" x14ac:dyDescent="0.3">
      <c r="A38" t="s">
        <v>79</v>
      </c>
      <c r="B38" t="s">
        <v>228</v>
      </c>
      <c r="C38" t="str">
        <f t="shared" ca="1" si="0"/>
        <v>Industrial Area Zone 8, Mumbai</v>
      </c>
      <c r="D38" t="str">
        <f t="shared" ca="1" si="1"/>
        <v>Net 30 Days</v>
      </c>
    </row>
    <row r="39" spans="1:4" x14ac:dyDescent="0.3">
      <c r="A39" t="s">
        <v>80</v>
      </c>
      <c r="B39" t="s">
        <v>229</v>
      </c>
      <c r="C39" t="str">
        <f t="shared" ca="1" si="0"/>
        <v>Industrial Area Zone 9, Mumbai</v>
      </c>
      <c r="D39" t="str">
        <f t="shared" ca="1" si="1"/>
        <v>Net 60 Days</v>
      </c>
    </row>
    <row r="40" spans="1:4" x14ac:dyDescent="0.3">
      <c r="A40" t="s">
        <v>81</v>
      </c>
      <c r="B40" t="s">
        <v>230</v>
      </c>
      <c r="C40" t="str">
        <f t="shared" ca="1" si="0"/>
        <v>Industrial Area Zone 9, Mumbai</v>
      </c>
      <c r="D40" t="str">
        <f t="shared" ca="1" si="1"/>
        <v>Advance Payments</v>
      </c>
    </row>
    <row r="41" spans="1:4" x14ac:dyDescent="0.3">
      <c r="A41" t="s">
        <v>82</v>
      </c>
      <c r="B41" t="s">
        <v>231</v>
      </c>
      <c r="C41" t="str">
        <f t="shared" ca="1" si="0"/>
        <v>Industrial Area Zone 1, Mumbai</v>
      </c>
      <c r="D41" t="str">
        <f t="shared" ca="1" si="1"/>
        <v>Net 60 Days</v>
      </c>
    </row>
    <row r="42" spans="1:4" x14ac:dyDescent="0.3">
      <c r="A42" t="s">
        <v>83</v>
      </c>
      <c r="B42" t="s">
        <v>232</v>
      </c>
      <c r="C42" t="str">
        <f t="shared" ca="1" si="0"/>
        <v>Industrial Area Zone 7, Mumbai</v>
      </c>
      <c r="D42" t="str">
        <f t="shared" ca="1" si="1"/>
        <v>Net 60 Days</v>
      </c>
    </row>
    <row r="43" spans="1:4" x14ac:dyDescent="0.3">
      <c r="A43" t="s">
        <v>84</v>
      </c>
      <c r="B43" t="s">
        <v>233</v>
      </c>
      <c r="C43" t="str">
        <f t="shared" ca="1" si="0"/>
        <v>Industrial Area Zone 2, Mumbai</v>
      </c>
      <c r="D43" t="str">
        <f t="shared" ca="1" si="1"/>
        <v>Net 30 Days</v>
      </c>
    </row>
    <row r="44" spans="1:4" x14ac:dyDescent="0.3">
      <c r="A44" t="s">
        <v>85</v>
      </c>
      <c r="B44" t="s">
        <v>234</v>
      </c>
      <c r="C44" t="str">
        <f t="shared" ca="1" si="0"/>
        <v>Industrial Area Zone 5, Mumbai</v>
      </c>
      <c r="D44" t="str">
        <f t="shared" ca="1" si="1"/>
        <v>Net 30 Days</v>
      </c>
    </row>
    <row r="45" spans="1:4" x14ac:dyDescent="0.3">
      <c r="A45" t="s">
        <v>86</v>
      </c>
      <c r="B45" t="s">
        <v>235</v>
      </c>
      <c r="C45" t="str">
        <f t="shared" ca="1" si="0"/>
        <v>Industrial Area Zone 7, Mumbai</v>
      </c>
      <c r="D45" t="str">
        <f t="shared" ca="1" si="1"/>
        <v>Advance Payments</v>
      </c>
    </row>
    <row r="46" spans="1:4" x14ac:dyDescent="0.3">
      <c r="A46" t="s">
        <v>87</v>
      </c>
      <c r="B46" t="s">
        <v>236</v>
      </c>
      <c r="C46" t="str">
        <f t="shared" ca="1" si="0"/>
        <v>Industrial Area Zone 9, Mumbai</v>
      </c>
      <c r="D46" t="str">
        <f t="shared" ca="1" si="1"/>
        <v>Advance Payments</v>
      </c>
    </row>
    <row r="47" spans="1:4" x14ac:dyDescent="0.3">
      <c r="A47" t="s">
        <v>88</v>
      </c>
      <c r="B47" t="s">
        <v>237</v>
      </c>
      <c r="C47" t="str">
        <f t="shared" ca="1" si="0"/>
        <v>Industrial Area Zone 2, Mumbai</v>
      </c>
      <c r="D47" t="str">
        <f t="shared" ca="1" si="1"/>
        <v>Net 60 Days</v>
      </c>
    </row>
    <row r="48" spans="1:4" x14ac:dyDescent="0.3">
      <c r="A48" t="s">
        <v>89</v>
      </c>
      <c r="B48" t="s">
        <v>238</v>
      </c>
      <c r="C48" t="str">
        <f t="shared" ca="1" si="0"/>
        <v>Industrial Area Zone 9, Mumbai</v>
      </c>
      <c r="D48" t="str">
        <f t="shared" ca="1" si="1"/>
        <v>Net 30 Days</v>
      </c>
    </row>
    <row r="49" spans="1:4" x14ac:dyDescent="0.3">
      <c r="A49" t="s">
        <v>90</v>
      </c>
      <c r="B49" t="s">
        <v>239</v>
      </c>
      <c r="C49" t="str">
        <f t="shared" ca="1" si="0"/>
        <v>Industrial Area Zone 5, Mumbai</v>
      </c>
      <c r="D49" t="str">
        <f t="shared" ca="1" si="1"/>
        <v>Advance Payments</v>
      </c>
    </row>
    <row r="50" spans="1:4" x14ac:dyDescent="0.3">
      <c r="A50" t="s">
        <v>91</v>
      </c>
      <c r="B50" t="s">
        <v>240</v>
      </c>
      <c r="C50" t="str">
        <f t="shared" ca="1" si="0"/>
        <v>Industrial Area Zone 9, Mumbai</v>
      </c>
      <c r="D50" t="str">
        <f t="shared" ca="1" si="1"/>
        <v>Advance Payments</v>
      </c>
    </row>
    <row r="51" spans="1:4" x14ac:dyDescent="0.3">
      <c r="A51" t="s">
        <v>92</v>
      </c>
      <c r="B51" t="s">
        <v>241</v>
      </c>
      <c r="C51" t="str">
        <f t="shared" ca="1" si="0"/>
        <v>Industrial Area Zone 1, Mumbai</v>
      </c>
      <c r="D51" t="str">
        <f t="shared" ca="1" si="1"/>
        <v>Advance Payments</v>
      </c>
    </row>
    <row r="52" spans="1:4" x14ac:dyDescent="0.3">
      <c r="A52" t="s">
        <v>93</v>
      </c>
      <c r="B52" t="s">
        <v>242</v>
      </c>
      <c r="C52" t="str">
        <f t="shared" ca="1" si="0"/>
        <v>Industrial Area Zone 8, Mumbai</v>
      </c>
      <c r="D52" t="str">
        <f t="shared" ca="1" si="1"/>
        <v>Net 30 Days</v>
      </c>
    </row>
    <row r="53" spans="1:4" x14ac:dyDescent="0.3">
      <c r="A53" t="s">
        <v>94</v>
      </c>
      <c r="B53" t="s">
        <v>243</v>
      </c>
      <c r="C53" t="str">
        <f t="shared" ca="1" si="0"/>
        <v>Industrial Area Zone 1, Mumbai</v>
      </c>
      <c r="D53" t="str">
        <f t="shared" ca="1" si="1"/>
        <v>Net 60 Days</v>
      </c>
    </row>
    <row r="54" spans="1:4" x14ac:dyDescent="0.3">
      <c r="A54" t="s">
        <v>95</v>
      </c>
      <c r="B54" t="s">
        <v>244</v>
      </c>
      <c r="C54" t="str">
        <f t="shared" ca="1" si="0"/>
        <v>Industrial Area Zone 3, Mumbai</v>
      </c>
      <c r="D54" t="str">
        <f t="shared" ca="1" si="1"/>
        <v>Net 30 Days</v>
      </c>
    </row>
    <row r="55" spans="1:4" x14ac:dyDescent="0.3">
      <c r="A55" t="s">
        <v>96</v>
      </c>
      <c r="B55" t="s">
        <v>245</v>
      </c>
      <c r="C55" t="str">
        <f t="shared" ca="1" si="0"/>
        <v>Industrial Area Zone 4, Mumbai</v>
      </c>
      <c r="D55" t="str">
        <f t="shared" ca="1" si="1"/>
        <v>Net 30 Days</v>
      </c>
    </row>
    <row r="56" spans="1:4" x14ac:dyDescent="0.3">
      <c r="A56" t="s">
        <v>97</v>
      </c>
      <c r="B56" t="s">
        <v>246</v>
      </c>
      <c r="C56" t="str">
        <f t="shared" ca="1" si="0"/>
        <v>Industrial Area Zone 3, Mumbai</v>
      </c>
      <c r="D56" t="str">
        <f t="shared" ca="1" si="1"/>
        <v>Net 30 Days</v>
      </c>
    </row>
    <row r="57" spans="1:4" x14ac:dyDescent="0.3">
      <c r="A57" t="s">
        <v>98</v>
      </c>
      <c r="B57" t="s">
        <v>247</v>
      </c>
      <c r="C57" t="str">
        <f t="shared" ca="1" si="0"/>
        <v>Industrial Area Zone 4, Mumbai</v>
      </c>
      <c r="D57" t="str">
        <f t="shared" ca="1" si="1"/>
        <v>Net 30 Days</v>
      </c>
    </row>
    <row r="58" spans="1:4" x14ac:dyDescent="0.3">
      <c r="A58" t="s">
        <v>99</v>
      </c>
      <c r="B58" t="s">
        <v>248</v>
      </c>
      <c r="C58" t="str">
        <f t="shared" ca="1" si="0"/>
        <v>Industrial Area Zone 1, Mumbai</v>
      </c>
      <c r="D58" t="str">
        <f t="shared" ca="1" si="1"/>
        <v>Advance Payments</v>
      </c>
    </row>
    <row r="59" spans="1:4" x14ac:dyDescent="0.3">
      <c r="A59" t="s">
        <v>100</v>
      </c>
      <c r="B59" t="s">
        <v>249</v>
      </c>
      <c r="C59" t="str">
        <f t="shared" ca="1" si="0"/>
        <v>Industrial Area Zone 1, Mumbai</v>
      </c>
      <c r="D59" t="str">
        <f t="shared" ca="1" si="1"/>
        <v>Advance Payments</v>
      </c>
    </row>
    <row r="60" spans="1:4" x14ac:dyDescent="0.3">
      <c r="A60" t="s">
        <v>101</v>
      </c>
      <c r="B60" t="s">
        <v>250</v>
      </c>
      <c r="C60" t="str">
        <f t="shared" ca="1" si="0"/>
        <v>Industrial Area Zone 3, Mumbai</v>
      </c>
      <c r="D60" t="str">
        <f t="shared" ca="1" si="1"/>
        <v>Net 30 Days</v>
      </c>
    </row>
    <row r="61" spans="1:4" x14ac:dyDescent="0.3">
      <c r="A61" t="s">
        <v>102</v>
      </c>
      <c r="B61" t="s">
        <v>251</v>
      </c>
      <c r="C61" t="str">
        <f t="shared" ca="1" si="0"/>
        <v>Industrial Area Zone 8, Mumbai</v>
      </c>
      <c r="D61" t="str">
        <f t="shared" ca="1" si="1"/>
        <v>Net 30 Days</v>
      </c>
    </row>
    <row r="62" spans="1:4" x14ac:dyDescent="0.3">
      <c r="A62" t="s">
        <v>103</v>
      </c>
      <c r="B62" t="s">
        <v>252</v>
      </c>
      <c r="C62" t="str">
        <f t="shared" ca="1" si="0"/>
        <v>Industrial Area Zone 10, Mumbai</v>
      </c>
      <c r="D62" t="str">
        <f t="shared" ca="1" si="1"/>
        <v>Net 30 Days</v>
      </c>
    </row>
    <row r="63" spans="1:4" x14ac:dyDescent="0.3">
      <c r="A63" t="s">
        <v>104</v>
      </c>
      <c r="B63" t="s">
        <v>253</v>
      </c>
      <c r="C63" t="str">
        <f t="shared" ca="1" si="0"/>
        <v>Industrial Area Zone 9, Mumbai</v>
      </c>
      <c r="D63" t="str">
        <f t="shared" ca="1" si="1"/>
        <v>Advance Payments</v>
      </c>
    </row>
    <row r="64" spans="1:4" x14ac:dyDescent="0.3">
      <c r="A64" t="s">
        <v>105</v>
      </c>
      <c r="B64" t="s">
        <v>254</v>
      </c>
      <c r="C64" t="str">
        <f t="shared" ca="1" si="0"/>
        <v>Industrial Area Zone 8, Mumbai</v>
      </c>
      <c r="D64" t="str">
        <f t="shared" ca="1" si="1"/>
        <v>Net 60 Days</v>
      </c>
    </row>
    <row r="65" spans="1:4" x14ac:dyDescent="0.3">
      <c r="A65" t="s">
        <v>106</v>
      </c>
      <c r="B65" t="s">
        <v>255</v>
      </c>
      <c r="C65" t="str">
        <f t="shared" ca="1" si="0"/>
        <v>Industrial Area Zone 6, Mumbai</v>
      </c>
      <c r="D65" t="str">
        <f t="shared" ca="1" si="1"/>
        <v>Net 30 Days</v>
      </c>
    </row>
    <row r="66" spans="1:4" x14ac:dyDescent="0.3">
      <c r="A66" t="s">
        <v>107</v>
      </c>
      <c r="B66" t="s">
        <v>256</v>
      </c>
      <c r="C66" t="str">
        <f t="shared" ca="1" si="0"/>
        <v>Industrial Area Zone 5, Mumbai</v>
      </c>
      <c r="D66" t="str">
        <f t="shared" ca="1" si="1"/>
        <v>Advance Payments</v>
      </c>
    </row>
    <row r="67" spans="1:4" x14ac:dyDescent="0.3">
      <c r="A67" t="s">
        <v>108</v>
      </c>
      <c r="B67" t="s">
        <v>257</v>
      </c>
      <c r="C67" t="str">
        <f t="shared" ref="C67:C130" ca="1" si="2">"Industrial Area Zone " &amp; RANDBETWEEN(1,10) &amp; ", Mumbai"</f>
        <v>Industrial Area Zone 5, Mumbai</v>
      </c>
      <c r="D67" t="str">
        <f t="shared" ref="D67:D126" ca="1" si="3">CHOOSE(RANDBETWEEN(1,3), "Net 30 Days", "Net 60 Days", "Advance Payments")</f>
        <v>Advance Payments</v>
      </c>
    </row>
    <row r="68" spans="1:4" x14ac:dyDescent="0.3">
      <c r="A68" t="s">
        <v>109</v>
      </c>
      <c r="B68" t="s">
        <v>258</v>
      </c>
      <c r="C68" t="str">
        <f t="shared" ca="1" si="2"/>
        <v>Industrial Area Zone 4, Mumbai</v>
      </c>
      <c r="D68" t="str">
        <f t="shared" ca="1" si="3"/>
        <v>Net 60 Days</v>
      </c>
    </row>
    <row r="69" spans="1:4" x14ac:dyDescent="0.3">
      <c r="A69" t="s">
        <v>110</v>
      </c>
      <c r="B69" t="s">
        <v>259</v>
      </c>
      <c r="C69" t="str">
        <f t="shared" ca="1" si="2"/>
        <v>Industrial Area Zone 2, Mumbai</v>
      </c>
      <c r="D69" t="str">
        <f t="shared" ca="1" si="3"/>
        <v>Net 60 Days</v>
      </c>
    </row>
    <row r="70" spans="1:4" x14ac:dyDescent="0.3">
      <c r="A70" t="s">
        <v>111</v>
      </c>
      <c r="B70" t="s">
        <v>260</v>
      </c>
      <c r="C70" t="str">
        <f t="shared" ca="1" si="2"/>
        <v>Industrial Area Zone 7, Mumbai</v>
      </c>
      <c r="D70" t="str">
        <f t="shared" ca="1" si="3"/>
        <v>Advance Payments</v>
      </c>
    </row>
    <row r="71" spans="1:4" x14ac:dyDescent="0.3">
      <c r="A71" t="s">
        <v>112</v>
      </c>
      <c r="B71" t="s">
        <v>261</v>
      </c>
      <c r="C71" t="str">
        <f t="shared" ca="1" si="2"/>
        <v>Industrial Area Zone 6, Mumbai</v>
      </c>
      <c r="D71" t="str">
        <f t="shared" ca="1" si="3"/>
        <v>Advance Payments</v>
      </c>
    </row>
    <row r="72" spans="1:4" x14ac:dyDescent="0.3">
      <c r="A72" t="s">
        <v>113</v>
      </c>
      <c r="B72" t="s">
        <v>262</v>
      </c>
      <c r="C72" t="str">
        <f t="shared" ca="1" si="2"/>
        <v>Industrial Area Zone 5, Mumbai</v>
      </c>
      <c r="D72" t="str">
        <f t="shared" ca="1" si="3"/>
        <v>Net 60 Days</v>
      </c>
    </row>
    <row r="73" spans="1:4" x14ac:dyDescent="0.3">
      <c r="A73" t="s">
        <v>114</v>
      </c>
      <c r="B73" t="s">
        <v>263</v>
      </c>
      <c r="C73" t="str">
        <f t="shared" ca="1" si="2"/>
        <v>Industrial Area Zone 9, Mumbai</v>
      </c>
      <c r="D73" t="str">
        <f t="shared" ca="1" si="3"/>
        <v>Net 60 Days</v>
      </c>
    </row>
    <row r="74" spans="1:4" x14ac:dyDescent="0.3">
      <c r="A74" t="s">
        <v>115</v>
      </c>
      <c r="B74" t="s">
        <v>264</v>
      </c>
      <c r="C74" t="str">
        <f t="shared" ca="1" si="2"/>
        <v>Industrial Area Zone 2, Mumbai</v>
      </c>
      <c r="D74" t="str">
        <f t="shared" ca="1" si="3"/>
        <v>Advance Payments</v>
      </c>
    </row>
    <row r="75" spans="1:4" x14ac:dyDescent="0.3">
      <c r="A75" t="s">
        <v>116</v>
      </c>
      <c r="B75" t="s">
        <v>265</v>
      </c>
      <c r="C75" t="str">
        <f t="shared" ca="1" si="2"/>
        <v>Industrial Area Zone 7, Mumbai</v>
      </c>
      <c r="D75" t="str">
        <f t="shared" ca="1" si="3"/>
        <v>Net 30 Days</v>
      </c>
    </row>
    <row r="76" spans="1:4" x14ac:dyDescent="0.3">
      <c r="A76" t="s">
        <v>117</v>
      </c>
      <c r="B76" t="s">
        <v>266</v>
      </c>
      <c r="C76" t="str">
        <f t="shared" ca="1" si="2"/>
        <v>Industrial Area Zone 4, Mumbai</v>
      </c>
      <c r="D76" t="str">
        <f t="shared" ca="1" si="3"/>
        <v>Net 60 Days</v>
      </c>
    </row>
    <row r="77" spans="1:4" x14ac:dyDescent="0.3">
      <c r="A77" t="s">
        <v>118</v>
      </c>
      <c r="B77" t="s">
        <v>267</v>
      </c>
      <c r="C77" t="str">
        <f t="shared" ca="1" si="2"/>
        <v>Industrial Area Zone 2, Mumbai</v>
      </c>
      <c r="D77" t="str">
        <f t="shared" ca="1" si="3"/>
        <v>Net 60 Days</v>
      </c>
    </row>
    <row r="78" spans="1:4" x14ac:dyDescent="0.3">
      <c r="A78" t="s">
        <v>119</v>
      </c>
      <c r="B78" t="s">
        <v>268</v>
      </c>
      <c r="C78" t="str">
        <f t="shared" ca="1" si="2"/>
        <v>Industrial Area Zone 2, Mumbai</v>
      </c>
      <c r="D78" t="str">
        <f t="shared" ca="1" si="3"/>
        <v>Advance Payments</v>
      </c>
    </row>
    <row r="79" spans="1:4" x14ac:dyDescent="0.3">
      <c r="A79" t="s">
        <v>120</v>
      </c>
      <c r="B79" t="s">
        <v>269</v>
      </c>
      <c r="C79" t="str">
        <f t="shared" ca="1" si="2"/>
        <v>Industrial Area Zone 4, Mumbai</v>
      </c>
      <c r="D79" t="str">
        <f t="shared" ca="1" si="3"/>
        <v>Advance Payments</v>
      </c>
    </row>
    <row r="80" spans="1:4" x14ac:dyDescent="0.3">
      <c r="A80" t="s">
        <v>121</v>
      </c>
      <c r="B80" t="s">
        <v>270</v>
      </c>
      <c r="C80" t="str">
        <f t="shared" ca="1" si="2"/>
        <v>Industrial Area Zone 1, Mumbai</v>
      </c>
      <c r="D80" t="str">
        <f t="shared" ca="1" si="3"/>
        <v>Net 30 Days</v>
      </c>
    </row>
    <row r="81" spans="1:4" x14ac:dyDescent="0.3">
      <c r="A81" t="s">
        <v>122</v>
      </c>
      <c r="B81" t="s">
        <v>271</v>
      </c>
      <c r="C81" t="str">
        <f t="shared" ca="1" si="2"/>
        <v>Industrial Area Zone 8, Mumbai</v>
      </c>
      <c r="D81" t="str">
        <f t="shared" ca="1" si="3"/>
        <v>Net 30 Days</v>
      </c>
    </row>
    <row r="82" spans="1:4" x14ac:dyDescent="0.3">
      <c r="A82" t="s">
        <v>123</v>
      </c>
      <c r="B82" t="s">
        <v>272</v>
      </c>
      <c r="C82" t="str">
        <f t="shared" ca="1" si="2"/>
        <v>Industrial Area Zone 4, Mumbai</v>
      </c>
      <c r="D82" t="str">
        <f t="shared" ca="1" si="3"/>
        <v>Net 60 Days</v>
      </c>
    </row>
    <row r="83" spans="1:4" x14ac:dyDescent="0.3">
      <c r="A83" t="s">
        <v>124</v>
      </c>
      <c r="B83" t="s">
        <v>273</v>
      </c>
      <c r="C83" t="str">
        <f t="shared" ca="1" si="2"/>
        <v>Industrial Area Zone 4, Mumbai</v>
      </c>
      <c r="D83" t="str">
        <f t="shared" ca="1" si="3"/>
        <v>Net 30 Days</v>
      </c>
    </row>
    <row r="84" spans="1:4" x14ac:dyDescent="0.3">
      <c r="A84" t="s">
        <v>125</v>
      </c>
      <c r="B84" t="s">
        <v>274</v>
      </c>
      <c r="C84" t="str">
        <f t="shared" ca="1" si="2"/>
        <v>Industrial Area Zone 1, Mumbai</v>
      </c>
      <c r="D84" t="str">
        <f t="shared" ca="1" si="3"/>
        <v>Net 30 Days</v>
      </c>
    </row>
    <row r="85" spans="1:4" x14ac:dyDescent="0.3">
      <c r="A85" t="s">
        <v>126</v>
      </c>
      <c r="B85" t="s">
        <v>275</v>
      </c>
      <c r="C85" t="str">
        <f t="shared" ca="1" si="2"/>
        <v>Industrial Area Zone 10, Mumbai</v>
      </c>
      <c r="D85" t="str">
        <f t="shared" ca="1" si="3"/>
        <v>Net 30 Days</v>
      </c>
    </row>
    <row r="86" spans="1:4" x14ac:dyDescent="0.3">
      <c r="A86" t="s">
        <v>127</v>
      </c>
      <c r="B86" t="s">
        <v>276</v>
      </c>
      <c r="C86" t="str">
        <f t="shared" ca="1" si="2"/>
        <v>Industrial Area Zone 10, Mumbai</v>
      </c>
      <c r="D86" t="str">
        <f t="shared" ca="1" si="3"/>
        <v>Net 30 Days</v>
      </c>
    </row>
    <row r="87" spans="1:4" x14ac:dyDescent="0.3">
      <c r="A87" t="s">
        <v>128</v>
      </c>
      <c r="B87" t="s">
        <v>277</v>
      </c>
      <c r="C87" t="str">
        <f t="shared" ca="1" si="2"/>
        <v>Industrial Area Zone 1, Mumbai</v>
      </c>
      <c r="D87" t="str">
        <f t="shared" ca="1" si="3"/>
        <v>Advance Payments</v>
      </c>
    </row>
    <row r="88" spans="1:4" x14ac:dyDescent="0.3">
      <c r="A88" t="s">
        <v>129</v>
      </c>
      <c r="B88" t="s">
        <v>278</v>
      </c>
      <c r="C88" t="str">
        <f t="shared" ca="1" si="2"/>
        <v>Industrial Area Zone 8, Mumbai</v>
      </c>
      <c r="D88" t="str">
        <f t="shared" ca="1" si="3"/>
        <v>Net 60 Days</v>
      </c>
    </row>
    <row r="89" spans="1:4" x14ac:dyDescent="0.3">
      <c r="A89" t="s">
        <v>130</v>
      </c>
      <c r="B89" t="s">
        <v>279</v>
      </c>
      <c r="C89" t="str">
        <f t="shared" ca="1" si="2"/>
        <v>Industrial Area Zone 5, Mumbai</v>
      </c>
      <c r="D89" t="str">
        <f t="shared" ca="1" si="3"/>
        <v>Advance Payments</v>
      </c>
    </row>
    <row r="90" spans="1:4" x14ac:dyDescent="0.3">
      <c r="A90" t="s">
        <v>131</v>
      </c>
      <c r="B90" t="s">
        <v>280</v>
      </c>
      <c r="C90" t="str">
        <f t="shared" ca="1" si="2"/>
        <v>Industrial Area Zone 2, Mumbai</v>
      </c>
      <c r="D90" t="str">
        <f t="shared" ca="1" si="3"/>
        <v>Net 30 Days</v>
      </c>
    </row>
    <row r="91" spans="1:4" x14ac:dyDescent="0.3">
      <c r="A91" t="s">
        <v>132</v>
      </c>
      <c r="B91" t="s">
        <v>281</v>
      </c>
      <c r="C91" t="str">
        <f t="shared" ca="1" si="2"/>
        <v>Industrial Area Zone 6, Mumbai</v>
      </c>
      <c r="D91" t="str">
        <f t="shared" ca="1" si="3"/>
        <v>Advance Payments</v>
      </c>
    </row>
    <row r="92" spans="1:4" x14ac:dyDescent="0.3">
      <c r="A92" t="s">
        <v>133</v>
      </c>
      <c r="B92" t="s">
        <v>282</v>
      </c>
      <c r="C92" t="str">
        <f t="shared" ca="1" si="2"/>
        <v>Industrial Area Zone 9, Mumbai</v>
      </c>
      <c r="D92" t="str">
        <f t="shared" ca="1" si="3"/>
        <v>Net 30 Days</v>
      </c>
    </row>
    <row r="93" spans="1:4" x14ac:dyDescent="0.3">
      <c r="A93" t="s">
        <v>134</v>
      </c>
      <c r="B93" t="s">
        <v>283</v>
      </c>
      <c r="C93" t="str">
        <f t="shared" ca="1" si="2"/>
        <v>Industrial Area Zone 8, Mumbai</v>
      </c>
      <c r="D93" t="str">
        <f t="shared" ca="1" si="3"/>
        <v>Net 30 Days</v>
      </c>
    </row>
    <row r="94" spans="1:4" x14ac:dyDescent="0.3">
      <c r="A94" t="s">
        <v>135</v>
      </c>
      <c r="B94" t="s">
        <v>284</v>
      </c>
      <c r="C94" t="str">
        <f t="shared" ca="1" si="2"/>
        <v>Industrial Area Zone 6, Mumbai</v>
      </c>
      <c r="D94" t="str">
        <f t="shared" ca="1" si="3"/>
        <v>Advance Payments</v>
      </c>
    </row>
    <row r="95" spans="1:4" x14ac:dyDescent="0.3">
      <c r="A95" t="s">
        <v>136</v>
      </c>
      <c r="B95" t="s">
        <v>285</v>
      </c>
      <c r="C95" t="str">
        <f t="shared" ca="1" si="2"/>
        <v>Industrial Area Zone 2, Mumbai</v>
      </c>
      <c r="D95" t="str">
        <f t="shared" ca="1" si="3"/>
        <v>Net 60 Days</v>
      </c>
    </row>
    <row r="96" spans="1:4" x14ac:dyDescent="0.3">
      <c r="A96" t="s">
        <v>137</v>
      </c>
      <c r="B96" t="s">
        <v>286</v>
      </c>
      <c r="C96" t="str">
        <f t="shared" ca="1" si="2"/>
        <v>Industrial Area Zone 7, Mumbai</v>
      </c>
      <c r="D96" t="str">
        <f t="shared" ca="1" si="3"/>
        <v>Net 30 Days</v>
      </c>
    </row>
    <row r="97" spans="1:4" x14ac:dyDescent="0.3">
      <c r="A97" t="s">
        <v>138</v>
      </c>
      <c r="B97" t="s">
        <v>287</v>
      </c>
      <c r="C97" t="str">
        <f t="shared" ca="1" si="2"/>
        <v>Industrial Area Zone 5, Mumbai</v>
      </c>
      <c r="D97" t="str">
        <f t="shared" ca="1" si="3"/>
        <v>Advance Payments</v>
      </c>
    </row>
    <row r="98" spans="1:4" x14ac:dyDescent="0.3">
      <c r="A98" t="s">
        <v>139</v>
      </c>
      <c r="B98" t="s">
        <v>288</v>
      </c>
      <c r="C98" t="str">
        <f t="shared" ca="1" si="2"/>
        <v>Industrial Area Zone 10, Mumbai</v>
      </c>
      <c r="D98" t="str">
        <f t="shared" ca="1" si="3"/>
        <v>Net 60 Days</v>
      </c>
    </row>
    <row r="99" spans="1:4" x14ac:dyDescent="0.3">
      <c r="A99" t="s">
        <v>140</v>
      </c>
      <c r="B99" t="s">
        <v>289</v>
      </c>
      <c r="C99" t="str">
        <f t="shared" ca="1" si="2"/>
        <v>Industrial Area Zone 2, Mumbai</v>
      </c>
      <c r="D99" t="str">
        <f t="shared" ca="1" si="3"/>
        <v>Advance Payments</v>
      </c>
    </row>
    <row r="100" spans="1:4" x14ac:dyDescent="0.3">
      <c r="A100" t="s">
        <v>141</v>
      </c>
      <c r="B100" t="s">
        <v>290</v>
      </c>
      <c r="C100" t="str">
        <f t="shared" ca="1" si="2"/>
        <v>Industrial Area Zone 2, Mumbai</v>
      </c>
      <c r="D100" t="str">
        <f t="shared" ca="1" si="3"/>
        <v>Advance Payments</v>
      </c>
    </row>
    <row r="101" spans="1:4" x14ac:dyDescent="0.3">
      <c r="A101" t="s">
        <v>142</v>
      </c>
      <c r="B101" t="s">
        <v>291</v>
      </c>
      <c r="C101" t="str">
        <f t="shared" ca="1" si="2"/>
        <v>Industrial Area Zone 4, Mumbai</v>
      </c>
      <c r="D101" t="str">
        <f t="shared" ca="1" si="3"/>
        <v>Advance Payments</v>
      </c>
    </row>
    <row r="102" spans="1:4" x14ac:dyDescent="0.3">
      <c r="A102" t="s">
        <v>143</v>
      </c>
      <c r="B102" t="s">
        <v>292</v>
      </c>
      <c r="C102" t="str">
        <f t="shared" ca="1" si="2"/>
        <v>Industrial Area Zone 4, Mumbai</v>
      </c>
      <c r="D102" t="str">
        <f t="shared" ca="1" si="3"/>
        <v>Net 30 Days</v>
      </c>
    </row>
    <row r="103" spans="1:4" x14ac:dyDescent="0.3">
      <c r="A103" t="s">
        <v>144</v>
      </c>
      <c r="B103" t="s">
        <v>293</v>
      </c>
      <c r="C103" t="str">
        <f t="shared" ca="1" si="2"/>
        <v>Industrial Area Zone 6, Mumbai</v>
      </c>
      <c r="D103" t="str">
        <f t="shared" ca="1" si="3"/>
        <v>Net 60 Days</v>
      </c>
    </row>
    <row r="104" spans="1:4" x14ac:dyDescent="0.3">
      <c r="A104" t="s">
        <v>145</v>
      </c>
      <c r="B104" t="s">
        <v>294</v>
      </c>
      <c r="C104" t="str">
        <f t="shared" ca="1" si="2"/>
        <v>Industrial Area Zone 2, Mumbai</v>
      </c>
      <c r="D104" t="str">
        <f t="shared" ca="1" si="3"/>
        <v>Net 60 Days</v>
      </c>
    </row>
    <row r="105" spans="1:4" x14ac:dyDescent="0.3">
      <c r="A105" t="s">
        <v>146</v>
      </c>
      <c r="B105" t="s">
        <v>295</v>
      </c>
      <c r="C105" t="str">
        <f t="shared" ca="1" si="2"/>
        <v>Industrial Area Zone 9, Mumbai</v>
      </c>
      <c r="D105" t="str">
        <f t="shared" ca="1" si="3"/>
        <v>Net 30 Days</v>
      </c>
    </row>
    <row r="106" spans="1:4" x14ac:dyDescent="0.3">
      <c r="A106" t="s">
        <v>147</v>
      </c>
      <c r="B106" t="s">
        <v>296</v>
      </c>
      <c r="C106" t="str">
        <f t="shared" ca="1" si="2"/>
        <v>Industrial Area Zone 9, Mumbai</v>
      </c>
      <c r="D106" t="str">
        <f t="shared" ca="1" si="3"/>
        <v>Net 60 Days</v>
      </c>
    </row>
    <row r="107" spans="1:4" x14ac:dyDescent="0.3">
      <c r="A107" t="s">
        <v>148</v>
      </c>
      <c r="B107" t="s">
        <v>297</v>
      </c>
      <c r="C107" t="str">
        <f t="shared" ca="1" si="2"/>
        <v>Industrial Area Zone 8, Mumbai</v>
      </c>
      <c r="D107" t="str">
        <f t="shared" ca="1" si="3"/>
        <v>Net 60 Days</v>
      </c>
    </row>
    <row r="108" spans="1:4" x14ac:dyDescent="0.3">
      <c r="A108" t="s">
        <v>149</v>
      </c>
      <c r="B108" t="s">
        <v>298</v>
      </c>
      <c r="C108" t="str">
        <f t="shared" ca="1" si="2"/>
        <v>Industrial Area Zone 3, Mumbai</v>
      </c>
      <c r="D108" t="str">
        <f t="shared" ca="1" si="3"/>
        <v>Net 60 Days</v>
      </c>
    </row>
    <row r="109" spans="1:4" x14ac:dyDescent="0.3">
      <c r="A109" t="s">
        <v>150</v>
      </c>
      <c r="B109" t="s">
        <v>299</v>
      </c>
      <c r="C109" t="str">
        <f t="shared" ca="1" si="2"/>
        <v>Industrial Area Zone 2, Mumbai</v>
      </c>
      <c r="D109" t="str">
        <f t="shared" ca="1" si="3"/>
        <v>Net 60 Days</v>
      </c>
    </row>
    <row r="110" spans="1:4" x14ac:dyDescent="0.3">
      <c r="A110" t="s">
        <v>151</v>
      </c>
      <c r="B110" t="s">
        <v>300</v>
      </c>
      <c r="C110" t="str">
        <f t="shared" ca="1" si="2"/>
        <v>Industrial Area Zone 8, Mumbai</v>
      </c>
      <c r="D110" t="str">
        <f t="shared" ca="1" si="3"/>
        <v>Advance Payments</v>
      </c>
    </row>
    <row r="111" spans="1:4" x14ac:dyDescent="0.3">
      <c r="A111" t="s">
        <v>152</v>
      </c>
      <c r="B111" t="s">
        <v>301</v>
      </c>
      <c r="C111" t="str">
        <f t="shared" ca="1" si="2"/>
        <v>Industrial Area Zone 5, Mumbai</v>
      </c>
      <c r="D111" t="str">
        <f t="shared" ca="1" si="3"/>
        <v>Net 30 Days</v>
      </c>
    </row>
    <row r="112" spans="1:4" x14ac:dyDescent="0.3">
      <c r="A112" t="s">
        <v>153</v>
      </c>
      <c r="B112" t="s">
        <v>302</v>
      </c>
      <c r="C112" t="str">
        <f t="shared" ca="1" si="2"/>
        <v>Industrial Area Zone 9, Mumbai</v>
      </c>
      <c r="D112" t="str">
        <f t="shared" ca="1" si="3"/>
        <v>Net 30 Days</v>
      </c>
    </row>
    <row r="113" spans="1:4" x14ac:dyDescent="0.3">
      <c r="A113" t="s">
        <v>154</v>
      </c>
      <c r="B113" t="s">
        <v>303</v>
      </c>
      <c r="C113" t="str">
        <f t="shared" ca="1" si="2"/>
        <v>Industrial Area Zone 7, Mumbai</v>
      </c>
      <c r="D113" t="str">
        <f t="shared" ca="1" si="3"/>
        <v>Net 60 Days</v>
      </c>
    </row>
    <row r="114" spans="1:4" x14ac:dyDescent="0.3">
      <c r="A114" t="s">
        <v>155</v>
      </c>
      <c r="B114" t="s">
        <v>304</v>
      </c>
      <c r="C114" t="str">
        <f t="shared" ca="1" si="2"/>
        <v>Industrial Area Zone 10, Mumbai</v>
      </c>
      <c r="D114" t="str">
        <f t="shared" ca="1" si="3"/>
        <v>Net 30 Days</v>
      </c>
    </row>
    <row r="115" spans="1:4" x14ac:dyDescent="0.3">
      <c r="A115" t="s">
        <v>156</v>
      </c>
      <c r="B115" t="s">
        <v>305</v>
      </c>
      <c r="C115" t="str">
        <f t="shared" ca="1" si="2"/>
        <v>Industrial Area Zone 3, Mumbai</v>
      </c>
      <c r="D115" t="str">
        <f t="shared" ca="1" si="3"/>
        <v>Net 30 Days</v>
      </c>
    </row>
    <row r="116" spans="1:4" x14ac:dyDescent="0.3">
      <c r="A116" t="s">
        <v>157</v>
      </c>
      <c r="B116" t="s">
        <v>306</v>
      </c>
      <c r="C116" t="str">
        <f t="shared" ca="1" si="2"/>
        <v>Industrial Area Zone 5, Mumbai</v>
      </c>
      <c r="D116" t="str">
        <f t="shared" ca="1" si="3"/>
        <v>Net 30 Days</v>
      </c>
    </row>
    <row r="117" spans="1:4" x14ac:dyDescent="0.3">
      <c r="A117" t="s">
        <v>158</v>
      </c>
      <c r="B117" t="s">
        <v>307</v>
      </c>
      <c r="C117" t="str">
        <f t="shared" ca="1" si="2"/>
        <v>Industrial Area Zone 10, Mumbai</v>
      </c>
      <c r="D117" t="str">
        <f t="shared" ca="1" si="3"/>
        <v>Net 60 Days</v>
      </c>
    </row>
    <row r="118" spans="1:4" x14ac:dyDescent="0.3">
      <c r="A118" t="s">
        <v>159</v>
      </c>
      <c r="B118" t="s">
        <v>308</v>
      </c>
      <c r="C118" t="str">
        <f t="shared" ca="1" si="2"/>
        <v>Industrial Area Zone 5, Mumbai</v>
      </c>
      <c r="D118" t="str">
        <f t="shared" ca="1" si="3"/>
        <v>Net 60 Days</v>
      </c>
    </row>
    <row r="119" spans="1:4" x14ac:dyDescent="0.3">
      <c r="A119" t="s">
        <v>160</v>
      </c>
      <c r="B119" t="s">
        <v>309</v>
      </c>
      <c r="C119" t="str">
        <f t="shared" ca="1" si="2"/>
        <v>Industrial Area Zone 5, Mumbai</v>
      </c>
      <c r="D119" t="str">
        <f t="shared" ca="1" si="3"/>
        <v>Net 60 Days</v>
      </c>
    </row>
    <row r="120" spans="1:4" x14ac:dyDescent="0.3">
      <c r="A120" t="s">
        <v>161</v>
      </c>
      <c r="B120" t="s">
        <v>310</v>
      </c>
      <c r="C120" t="str">
        <f t="shared" ca="1" si="2"/>
        <v>Industrial Area Zone 2, Mumbai</v>
      </c>
      <c r="D120" t="str">
        <f t="shared" ca="1" si="3"/>
        <v>Advance Payments</v>
      </c>
    </row>
    <row r="121" spans="1:4" x14ac:dyDescent="0.3">
      <c r="A121" t="s">
        <v>162</v>
      </c>
      <c r="B121" t="s">
        <v>311</v>
      </c>
      <c r="C121" t="str">
        <f t="shared" ca="1" si="2"/>
        <v>Industrial Area Zone 9, Mumbai</v>
      </c>
      <c r="D121" t="str">
        <f t="shared" ca="1" si="3"/>
        <v>Net 30 Days</v>
      </c>
    </row>
    <row r="122" spans="1:4" x14ac:dyDescent="0.3">
      <c r="A122" t="s">
        <v>163</v>
      </c>
      <c r="B122" t="s">
        <v>312</v>
      </c>
      <c r="C122" t="str">
        <f t="shared" ca="1" si="2"/>
        <v>Industrial Area Zone 1, Mumbai</v>
      </c>
      <c r="D122" t="str">
        <f t="shared" ca="1" si="3"/>
        <v>Advance Payments</v>
      </c>
    </row>
    <row r="123" spans="1:4" x14ac:dyDescent="0.3">
      <c r="A123" t="s">
        <v>164</v>
      </c>
      <c r="B123" t="s">
        <v>313</v>
      </c>
      <c r="C123" t="str">
        <f t="shared" ca="1" si="2"/>
        <v>Industrial Area Zone 3, Mumbai</v>
      </c>
      <c r="D123" t="str">
        <f t="shared" ca="1" si="3"/>
        <v>Net 30 Days</v>
      </c>
    </row>
    <row r="124" spans="1:4" x14ac:dyDescent="0.3">
      <c r="A124" t="s">
        <v>165</v>
      </c>
      <c r="B124" t="s">
        <v>314</v>
      </c>
      <c r="C124" t="str">
        <f t="shared" ca="1" si="2"/>
        <v>Industrial Area Zone 1, Mumbai</v>
      </c>
      <c r="D124" t="str">
        <f t="shared" ca="1" si="3"/>
        <v>Advance Payments</v>
      </c>
    </row>
    <row r="125" spans="1:4" x14ac:dyDescent="0.3">
      <c r="A125" t="s">
        <v>166</v>
      </c>
      <c r="B125" t="s">
        <v>315</v>
      </c>
      <c r="C125" t="str">
        <f t="shared" ca="1" si="2"/>
        <v>Industrial Area Zone 1, Mumbai</v>
      </c>
      <c r="D125" t="str">
        <f t="shared" ca="1" si="3"/>
        <v>Advance Payments</v>
      </c>
    </row>
    <row r="126" spans="1:4" x14ac:dyDescent="0.3">
      <c r="A126" t="s">
        <v>167</v>
      </c>
      <c r="B126" t="s">
        <v>316</v>
      </c>
      <c r="C126" t="str">
        <f t="shared" ca="1" si="2"/>
        <v>Industrial Area Zone 1, Mumbai</v>
      </c>
      <c r="D126" t="str">
        <f t="shared" ca="1" si="3"/>
        <v>Advance Payments</v>
      </c>
    </row>
    <row r="127" spans="1:4" x14ac:dyDescent="0.3">
      <c r="A127" t="s">
        <v>168</v>
      </c>
      <c r="B127" t="s">
        <v>317</v>
      </c>
      <c r="C127" t="str">
        <f t="shared" ca="1" si="2"/>
        <v>Industrial Area Zone 8, Mumbai</v>
      </c>
      <c r="D127" t="str">
        <f ca="1">CHOOSE(RANDBETWEEN(1,3), "Net 30 Days", "Net 60 Days", "Advance Payments")</f>
        <v>Advance Payments</v>
      </c>
    </row>
    <row r="128" spans="1:4" x14ac:dyDescent="0.3">
      <c r="A128" t="s">
        <v>169</v>
      </c>
      <c r="B128" t="s">
        <v>318</v>
      </c>
      <c r="C128" t="str">
        <f t="shared" ca="1" si="2"/>
        <v>Industrial Area Zone 6, Mumbai</v>
      </c>
      <c r="D128" t="str">
        <f t="shared" ref="D128:D150" ca="1" si="4">CHOOSE(RANDBETWEEN(1,3), "Net 30 Days", "Net 60 Days", "Advance Payments")</f>
        <v>Advance Payments</v>
      </c>
    </row>
    <row r="129" spans="1:4" x14ac:dyDescent="0.3">
      <c r="A129" t="s">
        <v>170</v>
      </c>
      <c r="B129" t="s">
        <v>319</v>
      </c>
      <c r="C129" t="str">
        <f t="shared" ca="1" si="2"/>
        <v>Industrial Area Zone 6, Mumbai</v>
      </c>
      <c r="D129" t="str">
        <f t="shared" ca="1" si="4"/>
        <v>Advance Payments</v>
      </c>
    </row>
    <row r="130" spans="1:4" x14ac:dyDescent="0.3">
      <c r="A130" t="s">
        <v>171</v>
      </c>
      <c r="B130" t="s">
        <v>320</v>
      </c>
      <c r="C130" t="str">
        <f t="shared" ca="1" si="2"/>
        <v>Industrial Area Zone 4, Mumbai</v>
      </c>
      <c r="D130" t="str">
        <f t="shared" ca="1" si="4"/>
        <v>Net 60 Days</v>
      </c>
    </row>
    <row r="131" spans="1:4" x14ac:dyDescent="0.3">
      <c r="A131" t="s">
        <v>172</v>
      </c>
      <c r="B131" t="s">
        <v>321</v>
      </c>
      <c r="C131" t="str">
        <f t="shared" ref="C131:C150" ca="1" si="5">"Industrial Area Zone " &amp; RANDBETWEEN(1,10) &amp; ", Mumbai"</f>
        <v>Industrial Area Zone 2, Mumbai</v>
      </c>
      <c r="D131" t="str">
        <f t="shared" ca="1" si="4"/>
        <v>Net 30 Days</v>
      </c>
    </row>
    <row r="132" spans="1:4" x14ac:dyDescent="0.3">
      <c r="A132" t="s">
        <v>173</v>
      </c>
      <c r="B132" t="s">
        <v>322</v>
      </c>
      <c r="C132" t="str">
        <f t="shared" ca="1" si="5"/>
        <v>Industrial Area Zone 8, Mumbai</v>
      </c>
      <c r="D132" t="str">
        <f t="shared" ca="1" si="4"/>
        <v>Net 30 Days</v>
      </c>
    </row>
    <row r="133" spans="1:4" x14ac:dyDescent="0.3">
      <c r="A133" t="s">
        <v>174</v>
      </c>
      <c r="B133" t="s">
        <v>323</v>
      </c>
      <c r="C133" t="str">
        <f t="shared" ca="1" si="5"/>
        <v>Industrial Area Zone 4, Mumbai</v>
      </c>
      <c r="D133" t="str">
        <f t="shared" ca="1" si="4"/>
        <v>Net 60 Days</v>
      </c>
    </row>
    <row r="134" spans="1:4" x14ac:dyDescent="0.3">
      <c r="A134" t="s">
        <v>175</v>
      </c>
      <c r="B134" t="s">
        <v>324</v>
      </c>
      <c r="C134" t="str">
        <f t="shared" ca="1" si="5"/>
        <v>Industrial Area Zone 2, Mumbai</v>
      </c>
      <c r="D134" t="str">
        <f t="shared" ca="1" si="4"/>
        <v>Net 30 Days</v>
      </c>
    </row>
    <row r="135" spans="1:4" x14ac:dyDescent="0.3">
      <c r="A135" t="s">
        <v>176</v>
      </c>
      <c r="B135" t="s">
        <v>325</v>
      </c>
      <c r="C135" t="str">
        <f t="shared" ca="1" si="5"/>
        <v>Industrial Area Zone 4, Mumbai</v>
      </c>
      <c r="D135" t="str">
        <f t="shared" ca="1" si="4"/>
        <v>Net 60 Days</v>
      </c>
    </row>
    <row r="136" spans="1:4" x14ac:dyDescent="0.3">
      <c r="A136" t="s">
        <v>177</v>
      </c>
      <c r="B136" t="s">
        <v>326</v>
      </c>
      <c r="C136" t="str">
        <f t="shared" ca="1" si="5"/>
        <v>Industrial Area Zone 2, Mumbai</v>
      </c>
      <c r="D136" t="str">
        <f t="shared" ca="1" si="4"/>
        <v>Advance Payments</v>
      </c>
    </row>
    <row r="137" spans="1:4" x14ac:dyDescent="0.3">
      <c r="A137" t="s">
        <v>178</v>
      </c>
      <c r="B137" t="s">
        <v>327</v>
      </c>
      <c r="C137" t="str">
        <f t="shared" ca="1" si="5"/>
        <v>Industrial Area Zone 7, Mumbai</v>
      </c>
      <c r="D137" t="str">
        <f t="shared" ca="1" si="4"/>
        <v>Advance Payments</v>
      </c>
    </row>
    <row r="138" spans="1:4" x14ac:dyDescent="0.3">
      <c r="A138" t="s">
        <v>179</v>
      </c>
      <c r="B138" t="s">
        <v>328</v>
      </c>
      <c r="C138" t="str">
        <f t="shared" ca="1" si="5"/>
        <v>Industrial Area Zone 3, Mumbai</v>
      </c>
      <c r="D138" t="str">
        <f t="shared" ca="1" si="4"/>
        <v>Net 30 Days</v>
      </c>
    </row>
    <row r="139" spans="1:4" x14ac:dyDescent="0.3">
      <c r="A139" t="s">
        <v>180</v>
      </c>
      <c r="B139" t="s">
        <v>329</v>
      </c>
      <c r="C139" t="str">
        <f t="shared" ca="1" si="5"/>
        <v>Industrial Area Zone 3, Mumbai</v>
      </c>
      <c r="D139" t="str">
        <f t="shared" ca="1" si="4"/>
        <v>Net 30 Days</v>
      </c>
    </row>
    <row r="140" spans="1:4" x14ac:dyDescent="0.3">
      <c r="A140" t="s">
        <v>181</v>
      </c>
      <c r="B140" t="s">
        <v>330</v>
      </c>
      <c r="C140" t="str">
        <f t="shared" ca="1" si="5"/>
        <v>Industrial Area Zone 3, Mumbai</v>
      </c>
      <c r="D140" t="str">
        <f t="shared" ca="1" si="4"/>
        <v>Advance Payments</v>
      </c>
    </row>
    <row r="141" spans="1:4" x14ac:dyDescent="0.3">
      <c r="A141" t="s">
        <v>182</v>
      </c>
      <c r="B141" t="s">
        <v>331</v>
      </c>
      <c r="C141" t="str">
        <f t="shared" ca="1" si="5"/>
        <v>Industrial Area Zone 10, Mumbai</v>
      </c>
      <c r="D141" t="str">
        <f t="shared" ca="1" si="4"/>
        <v>Net 30 Days</v>
      </c>
    </row>
    <row r="142" spans="1:4" x14ac:dyDescent="0.3">
      <c r="A142" t="s">
        <v>183</v>
      </c>
      <c r="B142" t="s">
        <v>332</v>
      </c>
      <c r="C142" t="str">
        <f t="shared" ca="1" si="5"/>
        <v>Industrial Area Zone 4, Mumbai</v>
      </c>
      <c r="D142" t="str">
        <f t="shared" ca="1" si="4"/>
        <v>Net 30 Days</v>
      </c>
    </row>
    <row r="143" spans="1:4" x14ac:dyDescent="0.3">
      <c r="A143" t="s">
        <v>184</v>
      </c>
      <c r="B143" t="s">
        <v>333</v>
      </c>
      <c r="C143" t="str">
        <f t="shared" ca="1" si="5"/>
        <v>Industrial Area Zone 8, Mumbai</v>
      </c>
      <c r="D143" t="str">
        <f t="shared" ca="1" si="4"/>
        <v>Net 60 Days</v>
      </c>
    </row>
    <row r="144" spans="1:4" x14ac:dyDescent="0.3">
      <c r="A144" t="s">
        <v>185</v>
      </c>
      <c r="B144" t="s">
        <v>334</v>
      </c>
      <c r="C144" t="str">
        <f t="shared" ca="1" si="5"/>
        <v>Industrial Area Zone 1, Mumbai</v>
      </c>
      <c r="D144" t="str">
        <f t="shared" ca="1" si="4"/>
        <v>Advance Payments</v>
      </c>
    </row>
    <row r="145" spans="1:4" x14ac:dyDescent="0.3">
      <c r="A145" t="s">
        <v>186</v>
      </c>
      <c r="B145" t="s">
        <v>335</v>
      </c>
      <c r="C145" t="str">
        <f t="shared" ca="1" si="5"/>
        <v>Industrial Area Zone 9, Mumbai</v>
      </c>
      <c r="D145" t="str">
        <f t="shared" ca="1" si="4"/>
        <v>Net 30 Days</v>
      </c>
    </row>
    <row r="146" spans="1:4" x14ac:dyDescent="0.3">
      <c r="A146" t="s">
        <v>187</v>
      </c>
      <c r="B146" t="s">
        <v>336</v>
      </c>
      <c r="C146" t="str">
        <f t="shared" ca="1" si="5"/>
        <v>Industrial Area Zone 9, Mumbai</v>
      </c>
      <c r="D146" t="str">
        <f t="shared" ca="1" si="4"/>
        <v>Net 30 Days</v>
      </c>
    </row>
    <row r="147" spans="1:4" x14ac:dyDescent="0.3">
      <c r="A147" t="s">
        <v>188</v>
      </c>
      <c r="B147" t="s">
        <v>337</v>
      </c>
      <c r="C147" t="str">
        <f t="shared" ca="1" si="5"/>
        <v>Industrial Area Zone 5, Mumbai</v>
      </c>
      <c r="D147" t="str">
        <f t="shared" ca="1" si="4"/>
        <v>Net 60 Days</v>
      </c>
    </row>
    <row r="148" spans="1:4" x14ac:dyDescent="0.3">
      <c r="A148" t="s">
        <v>189</v>
      </c>
      <c r="B148" t="s">
        <v>338</v>
      </c>
      <c r="C148" t="str">
        <f t="shared" ca="1" si="5"/>
        <v>Industrial Area Zone 2, Mumbai</v>
      </c>
      <c r="D148" t="str">
        <f t="shared" ca="1" si="4"/>
        <v>Net 60 Days</v>
      </c>
    </row>
    <row r="149" spans="1:4" x14ac:dyDescent="0.3">
      <c r="A149" t="s">
        <v>190</v>
      </c>
      <c r="B149" t="s">
        <v>339</v>
      </c>
      <c r="C149" t="str">
        <f t="shared" ca="1" si="5"/>
        <v>Industrial Area Zone 6, Mumbai</v>
      </c>
      <c r="D149" t="str">
        <f t="shared" ca="1" si="4"/>
        <v>Net 30 Days</v>
      </c>
    </row>
    <row r="150" spans="1:4" x14ac:dyDescent="0.3">
      <c r="A150" t="s">
        <v>191</v>
      </c>
      <c r="B150" t="s">
        <v>340</v>
      </c>
      <c r="C150" t="str">
        <f t="shared" ca="1" si="5"/>
        <v>Industrial Area Zone 4, Mumbai</v>
      </c>
      <c r="D150" t="str">
        <f t="shared" ca="1" si="4"/>
        <v>Net 30 Days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8DE0-F910-4BA6-8331-0C3FE8535CEA}">
  <dimension ref="A1:B6"/>
  <sheetViews>
    <sheetView workbookViewId="0">
      <selection activeCell="B6" sqref="B6"/>
    </sheetView>
  </sheetViews>
  <sheetFormatPr defaultRowHeight="14.4" x14ac:dyDescent="0.3"/>
  <cols>
    <col min="1" max="1" width="12.88671875" customWidth="1"/>
    <col min="2" max="2" width="17.44140625" customWidth="1"/>
  </cols>
  <sheetData>
    <row r="1" spans="1:2" x14ac:dyDescent="0.3">
      <c r="A1" t="s">
        <v>23</v>
      </c>
      <c r="B1" t="s">
        <v>35</v>
      </c>
    </row>
    <row r="2" spans="1:2" x14ac:dyDescent="0.3">
      <c r="A2" t="s">
        <v>29</v>
      </c>
      <c r="B2" t="s">
        <v>36</v>
      </c>
    </row>
    <row r="3" spans="1:2" x14ac:dyDescent="0.3">
      <c r="A3" t="s">
        <v>37</v>
      </c>
      <c r="B3" t="s">
        <v>38</v>
      </c>
    </row>
    <row r="4" spans="1:2" x14ac:dyDescent="0.3">
      <c r="A4" t="s">
        <v>39</v>
      </c>
      <c r="B4" t="s">
        <v>40</v>
      </c>
    </row>
    <row r="5" spans="1:2" x14ac:dyDescent="0.3">
      <c r="A5" t="s">
        <v>41</v>
      </c>
      <c r="B5" t="s">
        <v>42</v>
      </c>
    </row>
    <row r="6" spans="1:2" x14ac:dyDescent="0.3">
      <c r="A6" t="s">
        <v>43</v>
      </c>
      <c r="B6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8853-8D6B-4A3F-B255-0C31AEA129DD}">
  <dimension ref="A1:E150"/>
  <sheetViews>
    <sheetView workbookViewId="0">
      <selection activeCell="E2" sqref="E2:E150"/>
    </sheetView>
  </sheetViews>
  <sheetFormatPr defaultRowHeight="14.4" x14ac:dyDescent="0.3"/>
  <cols>
    <col min="1" max="1" width="10.44140625" customWidth="1"/>
    <col min="2" max="2" width="11" customWidth="1"/>
    <col min="4" max="4" width="12.88671875" customWidth="1"/>
    <col min="5" max="5" width="10.33203125" bestFit="1" customWidth="1"/>
  </cols>
  <sheetData>
    <row r="1" spans="1: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3">
      <c r="A2" t="s">
        <v>19</v>
      </c>
      <c r="B2" t="str">
        <f ca="1">"V-" &amp; RANDBETWEEN(901,950)</f>
        <v>V-931</v>
      </c>
      <c r="C2">
        <f ca="1">RANDBETWEEN(1001,1275)</f>
        <v>1045</v>
      </c>
      <c r="D2">
        <f ca="1">RANDBETWEEN(100,1000)</f>
        <v>718</v>
      </c>
      <c r="E2" s="1" t="str">
        <f ca="1">"2026-06-" &amp; TEXT(RANDBETWEEN(1,15),"00")</f>
        <v>2026-06-08</v>
      </c>
    </row>
    <row r="3" spans="1:5" x14ac:dyDescent="0.3">
      <c r="A3" t="s">
        <v>20</v>
      </c>
      <c r="B3" t="str">
        <f t="shared" ref="B3:B66" ca="1" si="0">"V-" &amp; RANDBETWEEN(901,950)</f>
        <v>V-919</v>
      </c>
      <c r="C3">
        <f t="shared" ref="C3:C66" ca="1" si="1">RANDBETWEEN(1001,1275)</f>
        <v>1203</v>
      </c>
      <c r="D3">
        <f t="shared" ref="D3:D66" ca="1" si="2">RANDBETWEEN(100,1000)</f>
        <v>451</v>
      </c>
      <c r="E3" s="1" t="str">
        <f t="shared" ref="E3:E66" ca="1" si="3">"2026-06-" &amp; TEXT(RANDBETWEEN(1,15),"00")</f>
        <v>2026-06-04</v>
      </c>
    </row>
    <row r="4" spans="1:5" x14ac:dyDescent="0.3">
      <c r="A4" t="s">
        <v>341</v>
      </c>
      <c r="B4" t="str">
        <f t="shared" ca="1" si="0"/>
        <v>V-942</v>
      </c>
      <c r="C4">
        <f t="shared" ca="1" si="1"/>
        <v>1105</v>
      </c>
      <c r="D4">
        <f t="shared" ca="1" si="2"/>
        <v>566</v>
      </c>
      <c r="E4" s="1" t="str">
        <f t="shared" ca="1" si="3"/>
        <v>2026-06-05</v>
      </c>
    </row>
    <row r="5" spans="1:5" x14ac:dyDescent="0.3">
      <c r="A5" t="s">
        <v>342</v>
      </c>
      <c r="B5" t="str">
        <f t="shared" ca="1" si="0"/>
        <v>V-930</v>
      </c>
      <c r="C5">
        <f t="shared" ca="1" si="1"/>
        <v>1190</v>
      </c>
      <c r="D5">
        <f t="shared" ca="1" si="2"/>
        <v>853</v>
      </c>
      <c r="E5" s="1" t="str">
        <f t="shared" ca="1" si="3"/>
        <v>2026-06-04</v>
      </c>
    </row>
    <row r="6" spans="1:5" x14ac:dyDescent="0.3">
      <c r="A6" t="s">
        <v>343</v>
      </c>
      <c r="B6" t="str">
        <f t="shared" ca="1" si="0"/>
        <v>V-909</v>
      </c>
      <c r="C6">
        <f t="shared" ca="1" si="1"/>
        <v>1033</v>
      </c>
      <c r="D6">
        <f t="shared" ca="1" si="2"/>
        <v>583</v>
      </c>
      <c r="E6" s="1" t="str">
        <f t="shared" ca="1" si="3"/>
        <v>2026-06-03</v>
      </c>
    </row>
    <row r="7" spans="1:5" x14ac:dyDescent="0.3">
      <c r="A7" t="s">
        <v>344</v>
      </c>
      <c r="B7" t="str">
        <f t="shared" ca="1" si="0"/>
        <v>V-908</v>
      </c>
      <c r="C7">
        <f t="shared" ca="1" si="1"/>
        <v>1047</v>
      </c>
      <c r="D7">
        <f t="shared" ca="1" si="2"/>
        <v>696</v>
      </c>
      <c r="E7" s="1" t="str">
        <f t="shared" ca="1" si="3"/>
        <v>2026-06-02</v>
      </c>
    </row>
    <row r="8" spans="1:5" x14ac:dyDescent="0.3">
      <c r="A8" t="s">
        <v>345</v>
      </c>
      <c r="B8" t="str">
        <f t="shared" ca="1" si="0"/>
        <v>V-936</v>
      </c>
      <c r="C8">
        <f t="shared" ca="1" si="1"/>
        <v>1212</v>
      </c>
      <c r="D8">
        <f t="shared" ca="1" si="2"/>
        <v>674</v>
      </c>
      <c r="E8" s="1" t="str">
        <f t="shared" ca="1" si="3"/>
        <v>2026-06-08</v>
      </c>
    </row>
    <row r="9" spans="1:5" x14ac:dyDescent="0.3">
      <c r="A9" t="s">
        <v>346</v>
      </c>
      <c r="B9" t="str">
        <f t="shared" ca="1" si="0"/>
        <v>V-943</v>
      </c>
      <c r="C9">
        <f t="shared" ca="1" si="1"/>
        <v>1164</v>
      </c>
      <c r="D9">
        <f t="shared" ca="1" si="2"/>
        <v>669</v>
      </c>
      <c r="E9" s="1" t="str">
        <f t="shared" ca="1" si="3"/>
        <v>2026-06-13</v>
      </c>
    </row>
    <row r="10" spans="1:5" x14ac:dyDescent="0.3">
      <c r="A10" t="s">
        <v>347</v>
      </c>
      <c r="B10" t="str">
        <f t="shared" ca="1" si="0"/>
        <v>V-938</v>
      </c>
      <c r="C10">
        <f t="shared" ca="1" si="1"/>
        <v>1231</v>
      </c>
      <c r="D10">
        <f t="shared" ca="1" si="2"/>
        <v>169</v>
      </c>
      <c r="E10" s="1" t="str">
        <f t="shared" ca="1" si="3"/>
        <v>2026-06-12</v>
      </c>
    </row>
    <row r="11" spans="1:5" x14ac:dyDescent="0.3">
      <c r="A11" t="s">
        <v>348</v>
      </c>
      <c r="B11" t="str">
        <f t="shared" ca="1" si="0"/>
        <v>V-927</v>
      </c>
      <c r="C11">
        <f t="shared" ca="1" si="1"/>
        <v>1115</v>
      </c>
      <c r="D11">
        <f t="shared" ca="1" si="2"/>
        <v>285</v>
      </c>
      <c r="E11" s="1" t="str">
        <f t="shared" ca="1" si="3"/>
        <v>2026-06-10</v>
      </c>
    </row>
    <row r="12" spans="1:5" x14ac:dyDescent="0.3">
      <c r="A12" t="s">
        <v>349</v>
      </c>
      <c r="B12" t="str">
        <f t="shared" ca="1" si="0"/>
        <v>V-915</v>
      </c>
      <c r="C12">
        <f t="shared" ca="1" si="1"/>
        <v>1059</v>
      </c>
      <c r="D12">
        <f t="shared" ca="1" si="2"/>
        <v>541</v>
      </c>
      <c r="E12" s="1" t="str">
        <f t="shared" ca="1" si="3"/>
        <v>2026-06-06</v>
      </c>
    </row>
    <row r="13" spans="1:5" x14ac:dyDescent="0.3">
      <c r="A13" t="s">
        <v>350</v>
      </c>
      <c r="B13" t="str">
        <f t="shared" ca="1" si="0"/>
        <v>V-943</v>
      </c>
      <c r="C13">
        <f t="shared" ca="1" si="1"/>
        <v>1201</v>
      </c>
      <c r="D13">
        <f t="shared" ca="1" si="2"/>
        <v>613</v>
      </c>
      <c r="E13" s="1" t="str">
        <f t="shared" ca="1" si="3"/>
        <v>2026-06-01</v>
      </c>
    </row>
    <row r="14" spans="1:5" x14ac:dyDescent="0.3">
      <c r="A14" t="s">
        <v>351</v>
      </c>
      <c r="B14" t="str">
        <f t="shared" ca="1" si="0"/>
        <v>V-949</v>
      </c>
      <c r="C14">
        <f t="shared" ca="1" si="1"/>
        <v>1268</v>
      </c>
      <c r="D14">
        <f t="shared" ca="1" si="2"/>
        <v>226</v>
      </c>
      <c r="E14" s="1" t="str">
        <f t="shared" ca="1" si="3"/>
        <v>2026-06-10</v>
      </c>
    </row>
    <row r="15" spans="1:5" x14ac:dyDescent="0.3">
      <c r="A15" t="s">
        <v>352</v>
      </c>
      <c r="B15" t="str">
        <f t="shared" ca="1" si="0"/>
        <v>V-903</v>
      </c>
      <c r="C15">
        <f t="shared" ca="1" si="1"/>
        <v>1078</v>
      </c>
      <c r="D15">
        <f t="shared" ca="1" si="2"/>
        <v>453</v>
      </c>
      <c r="E15" s="1" t="str">
        <f t="shared" ca="1" si="3"/>
        <v>2026-06-10</v>
      </c>
    </row>
    <row r="16" spans="1:5" x14ac:dyDescent="0.3">
      <c r="A16" t="s">
        <v>353</v>
      </c>
      <c r="B16" t="str">
        <f t="shared" ca="1" si="0"/>
        <v>V-941</v>
      </c>
      <c r="C16">
        <f t="shared" ca="1" si="1"/>
        <v>1228</v>
      </c>
      <c r="D16">
        <f t="shared" ca="1" si="2"/>
        <v>852</v>
      </c>
      <c r="E16" s="1" t="str">
        <f t="shared" ca="1" si="3"/>
        <v>2026-06-01</v>
      </c>
    </row>
    <row r="17" spans="1:5" x14ac:dyDescent="0.3">
      <c r="A17" t="s">
        <v>354</v>
      </c>
      <c r="B17" t="str">
        <f t="shared" ca="1" si="0"/>
        <v>V-934</v>
      </c>
      <c r="C17">
        <f t="shared" ca="1" si="1"/>
        <v>1204</v>
      </c>
      <c r="D17">
        <f t="shared" ca="1" si="2"/>
        <v>630</v>
      </c>
      <c r="E17" s="1" t="str">
        <f t="shared" ca="1" si="3"/>
        <v>2026-06-03</v>
      </c>
    </row>
    <row r="18" spans="1:5" x14ac:dyDescent="0.3">
      <c r="A18" t="s">
        <v>355</v>
      </c>
      <c r="B18" t="str">
        <f t="shared" ca="1" si="0"/>
        <v>V-935</v>
      </c>
      <c r="C18">
        <f t="shared" ca="1" si="1"/>
        <v>1050</v>
      </c>
      <c r="D18">
        <f t="shared" ca="1" si="2"/>
        <v>325</v>
      </c>
      <c r="E18" s="1" t="str">
        <f t="shared" ca="1" si="3"/>
        <v>2026-06-14</v>
      </c>
    </row>
    <row r="19" spans="1:5" x14ac:dyDescent="0.3">
      <c r="A19" t="s">
        <v>356</v>
      </c>
      <c r="B19" t="str">
        <f t="shared" ca="1" si="0"/>
        <v>V-934</v>
      </c>
      <c r="C19">
        <f t="shared" ca="1" si="1"/>
        <v>1130</v>
      </c>
      <c r="D19">
        <f t="shared" ca="1" si="2"/>
        <v>871</v>
      </c>
      <c r="E19" s="1" t="str">
        <f t="shared" ca="1" si="3"/>
        <v>2026-06-01</v>
      </c>
    </row>
    <row r="20" spans="1:5" x14ac:dyDescent="0.3">
      <c r="A20" t="s">
        <v>357</v>
      </c>
      <c r="B20" t="str">
        <f t="shared" ca="1" si="0"/>
        <v>V-923</v>
      </c>
      <c r="C20">
        <f t="shared" ca="1" si="1"/>
        <v>1002</v>
      </c>
      <c r="D20">
        <f t="shared" ca="1" si="2"/>
        <v>183</v>
      </c>
      <c r="E20" s="1" t="str">
        <f t="shared" ca="1" si="3"/>
        <v>2026-06-08</v>
      </c>
    </row>
    <row r="21" spans="1:5" x14ac:dyDescent="0.3">
      <c r="A21" t="s">
        <v>358</v>
      </c>
      <c r="B21" t="str">
        <f t="shared" ca="1" si="0"/>
        <v>V-919</v>
      </c>
      <c r="C21">
        <f t="shared" ca="1" si="1"/>
        <v>1230</v>
      </c>
      <c r="D21">
        <f t="shared" ca="1" si="2"/>
        <v>412</v>
      </c>
      <c r="E21" s="1" t="str">
        <f t="shared" ca="1" si="3"/>
        <v>2026-06-02</v>
      </c>
    </row>
    <row r="22" spans="1:5" x14ac:dyDescent="0.3">
      <c r="A22" t="s">
        <v>359</v>
      </c>
      <c r="B22" t="str">
        <f t="shared" ca="1" si="0"/>
        <v>V-941</v>
      </c>
      <c r="C22">
        <f t="shared" ca="1" si="1"/>
        <v>1128</v>
      </c>
      <c r="D22">
        <f t="shared" ca="1" si="2"/>
        <v>672</v>
      </c>
      <c r="E22" s="1" t="str">
        <f t="shared" ca="1" si="3"/>
        <v>2026-06-03</v>
      </c>
    </row>
    <row r="23" spans="1:5" x14ac:dyDescent="0.3">
      <c r="A23" t="s">
        <v>360</v>
      </c>
      <c r="B23" t="str">
        <f t="shared" ca="1" si="0"/>
        <v>V-934</v>
      </c>
      <c r="C23">
        <f t="shared" ca="1" si="1"/>
        <v>1075</v>
      </c>
      <c r="D23">
        <f t="shared" ca="1" si="2"/>
        <v>642</v>
      </c>
      <c r="E23" s="1" t="str">
        <f t="shared" ca="1" si="3"/>
        <v>2026-06-01</v>
      </c>
    </row>
    <row r="24" spans="1:5" x14ac:dyDescent="0.3">
      <c r="A24" t="s">
        <v>361</v>
      </c>
      <c r="B24" t="str">
        <f t="shared" ca="1" si="0"/>
        <v>V-903</v>
      </c>
      <c r="C24">
        <f t="shared" ca="1" si="1"/>
        <v>1102</v>
      </c>
      <c r="D24">
        <f t="shared" ca="1" si="2"/>
        <v>167</v>
      </c>
      <c r="E24" s="1" t="str">
        <f t="shared" ca="1" si="3"/>
        <v>2026-06-15</v>
      </c>
    </row>
    <row r="25" spans="1:5" x14ac:dyDescent="0.3">
      <c r="A25" t="s">
        <v>362</v>
      </c>
      <c r="B25" t="str">
        <f t="shared" ca="1" si="0"/>
        <v>V-930</v>
      </c>
      <c r="C25">
        <f t="shared" ca="1" si="1"/>
        <v>1191</v>
      </c>
      <c r="D25">
        <f t="shared" ca="1" si="2"/>
        <v>745</v>
      </c>
      <c r="E25" s="1" t="str">
        <f t="shared" ca="1" si="3"/>
        <v>2026-06-09</v>
      </c>
    </row>
    <row r="26" spans="1:5" x14ac:dyDescent="0.3">
      <c r="A26" t="s">
        <v>363</v>
      </c>
      <c r="B26" t="str">
        <f t="shared" ca="1" si="0"/>
        <v>V-901</v>
      </c>
      <c r="C26">
        <f t="shared" ca="1" si="1"/>
        <v>1176</v>
      </c>
      <c r="D26">
        <f t="shared" ca="1" si="2"/>
        <v>372</v>
      </c>
      <c r="E26" s="1" t="str">
        <f t="shared" ca="1" si="3"/>
        <v>2026-06-06</v>
      </c>
    </row>
    <row r="27" spans="1:5" x14ac:dyDescent="0.3">
      <c r="A27" t="s">
        <v>364</v>
      </c>
      <c r="B27" t="str">
        <f t="shared" ca="1" si="0"/>
        <v>V-935</v>
      </c>
      <c r="C27">
        <f t="shared" ca="1" si="1"/>
        <v>1123</v>
      </c>
      <c r="D27">
        <f t="shared" ca="1" si="2"/>
        <v>172</v>
      </c>
      <c r="E27" s="1" t="str">
        <f t="shared" ca="1" si="3"/>
        <v>2026-06-12</v>
      </c>
    </row>
    <row r="28" spans="1:5" x14ac:dyDescent="0.3">
      <c r="A28" t="s">
        <v>365</v>
      </c>
      <c r="B28" t="str">
        <f t="shared" ca="1" si="0"/>
        <v>V-950</v>
      </c>
      <c r="C28">
        <f t="shared" ca="1" si="1"/>
        <v>1155</v>
      </c>
      <c r="D28">
        <f t="shared" ca="1" si="2"/>
        <v>144</v>
      </c>
      <c r="E28" s="1" t="str">
        <f t="shared" ca="1" si="3"/>
        <v>2026-06-10</v>
      </c>
    </row>
    <row r="29" spans="1:5" x14ac:dyDescent="0.3">
      <c r="A29" t="s">
        <v>366</v>
      </c>
      <c r="B29" t="str">
        <f t="shared" ca="1" si="0"/>
        <v>V-944</v>
      </c>
      <c r="C29">
        <f t="shared" ca="1" si="1"/>
        <v>1265</v>
      </c>
      <c r="D29">
        <f t="shared" ca="1" si="2"/>
        <v>390</v>
      </c>
      <c r="E29" s="1" t="str">
        <f t="shared" ca="1" si="3"/>
        <v>2026-06-11</v>
      </c>
    </row>
    <row r="30" spans="1:5" x14ac:dyDescent="0.3">
      <c r="A30" t="s">
        <v>367</v>
      </c>
      <c r="B30" t="str">
        <f t="shared" ca="1" si="0"/>
        <v>V-945</v>
      </c>
      <c r="C30">
        <f t="shared" ca="1" si="1"/>
        <v>1014</v>
      </c>
      <c r="D30">
        <f t="shared" ca="1" si="2"/>
        <v>294</v>
      </c>
      <c r="E30" s="1" t="str">
        <f t="shared" ca="1" si="3"/>
        <v>2026-06-07</v>
      </c>
    </row>
    <row r="31" spans="1:5" x14ac:dyDescent="0.3">
      <c r="A31" t="s">
        <v>368</v>
      </c>
      <c r="B31" t="str">
        <f t="shared" ca="1" si="0"/>
        <v>V-922</v>
      </c>
      <c r="C31">
        <f t="shared" ca="1" si="1"/>
        <v>1231</v>
      </c>
      <c r="D31">
        <f t="shared" ca="1" si="2"/>
        <v>764</v>
      </c>
      <c r="E31" s="1" t="str">
        <f t="shared" ca="1" si="3"/>
        <v>2026-06-15</v>
      </c>
    </row>
    <row r="32" spans="1:5" x14ac:dyDescent="0.3">
      <c r="A32" t="s">
        <v>369</v>
      </c>
      <c r="B32" t="str">
        <f t="shared" ca="1" si="0"/>
        <v>V-944</v>
      </c>
      <c r="C32">
        <f t="shared" ca="1" si="1"/>
        <v>1253</v>
      </c>
      <c r="D32">
        <f t="shared" ca="1" si="2"/>
        <v>451</v>
      </c>
      <c r="E32" s="1" t="str">
        <f t="shared" ca="1" si="3"/>
        <v>2026-06-09</v>
      </c>
    </row>
    <row r="33" spans="1:5" x14ac:dyDescent="0.3">
      <c r="A33" t="s">
        <v>370</v>
      </c>
      <c r="B33" t="str">
        <f t="shared" ca="1" si="0"/>
        <v>V-935</v>
      </c>
      <c r="C33">
        <f t="shared" ca="1" si="1"/>
        <v>1272</v>
      </c>
      <c r="D33">
        <f t="shared" ca="1" si="2"/>
        <v>953</v>
      </c>
      <c r="E33" s="1" t="str">
        <f t="shared" ca="1" si="3"/>
        <v>2026-06-07</v>
      </c>
    </row>
    <row r="34" spans="1:5" x14ac:dyDescent="0.3">
      <c r="A34" t="s">
        <v>371</v>
      </c>
      <c r="B34" t="str">
        <f t="shared" ca="1" si="0"/>
        <v>V-942</v>
      </c>
      <c r="C34">
        <f t="shared" ca="1" si="1"/>
        <v>1149</v>
      </c>
      <c r="D34">
        <f t="shared" ca="1" si="2"/>
        <v>700</v>
      </c>
      <c r="E34" s="1" t="str">
        <f t="shared" ca="1" si="3"/>
        <v>2026-06-13</v>
      </c>
    </row>
    <row r="35" spans="1:5" x14ac:dyDescent="0.3">
      <c r="A35" t="s">
        <v>372</v>
      </c>
      <c r="B35" t="str">
        <f t="shared" ca="1" si="0"/>
        <v>V-942</v>
      </c>
      <c r="C35">
        <f t="shared" ca="1" si="1"/>
        <v>1063</v>
      </c>
      <c r="D35">
        <f t="shared" ca="1" si="2"/>
        <v>464</v>
      </c>
      <c r="E35" s="1" t="str">
        <f t="shared" ca="1" si="3"/>
        <v>2026-06-05</v>
      </c>
    </row>
    <row r="36" spans="1:5" x14ac:dyDescent="0.3">
      <c r="A36" t="s">
        <v>373</v>
      </c>
      <c r="B36" t="str">
        <f t="shared" ca="1" si="0"/>
        <v>V-944</v>
      </c>
      <c r="C36">
        <f t="shared" ca="1" si="1"/>
        <v>1267</v>
      </c>
      <c r="D36">
        <f t="shared" ca="1" si="2"/>
        <v>202</v>
      </c>
      <c r="E36" s="1" t="str">
        <f t="shared" ca="1" si="3"/>
        <v>2026-06-10</v>
      </c>
    </row>
    <row r="37" spans="1:5" x14ac:dyDescent="0.3">
      <c r="A37" t="s">
        <v>374</v>
      </c>
      <c r="B37" t="str">
        <f t="shared" ca="1" si="0"/>
        <v>V-917</v>
      </c>
      <c r="C37">
        <f t="shared" ca="1" si="1"/>
        <v>1020</v>
      </c>
      <c r="D37">
        <f t="shared" ca="1" si="2"/>
        <v>138</v>
      </c>
      <c r="E37" s="1" t="str">
        <f t="shared" ca="1" si="3"/>
        <v>2026-06-15</v>
      </c>
    </row>
    <row r="38" spans="1:5" x14ac:dyDescent="0.3">
      <c r="A38" t="s">
        <v>375</v>
      </c>
      <c r="B38" t="str">
        <f t="shared" ca="1" si="0"/>
        <v>V-914</v>
      </c>
      <c r="C38">
        <f t="shared" ca="1" si="1"/>
        <v>1183</v>
      </c>
      <c r="D38">
        <f t="shared" ca="1" si="2"/>
        <v>576</v>
      </c>
      <c r="E38" s="1" t="str">
        <f t="shared" ca="1" si="3"/>
        <v>2026-06-10</v>
      </c>
    </row>
    <row r="39" spans="1:5" x14ac:dyDescent="0.3">
      <c r="A39" t="s">
        <v>376</v>
      </c>
      <c r="B39" t="str">
        <f t="shared" ca="1" si="0"/>
        <v>V-938</v>
      </c>
      <c r="C39">
        <f t="shared" ca="1" si="1"/>
        <v>1251</v>
      </c>
      <c r="D39">
        <f t="shared" ca="1" si="2"/>
        <v>463</v>
      </c>
      <c r="E39" s="1" t="str">
        <f t="shared" ca="1" si="3"/>
        <v>2026-06-01</v>
      </c>
    </row>
    <row r="40" spans="1:5" x14ac:dyDescent="0.3">
      <c r="A40" t="s">
        <v>377</v>
      </c>
      <c r="B40" t="str">
        <f t="shared" ca="1" si="0"/>
        <v>V-948</v>
      </c>
      <c r="C40">
        <f t="shared" ca="1" si="1"/>
        <v>1244</v>
      </c>
      <c r="D40">
        <f t="shared" ca="1" si="2"/>
        <v>345</v>
      </c>
      <c r="E40" s="1" t="str">
        <f t="shared" ca="1" si="3"/>
        <v>2026-06-15</v>
      </c>
    </row>
    <row r="41" spans="1:5" x14ac:dyDescent="0.3">
      <c r="A41" t="s">
        <v>378</v>
      </c>
      <c r="B41" t="str">
        <f t="shared" ca="1" si="0"/>
        <v>V-921</v>
      </c>
      <c r="C41">
        <f t="shared" ca="1" si="1"/>
        <v>1060</v>
      </c>
      <c r="D41">
        <f t="shared" ca="1" si="2"/>
        <v>870</v>
      </c>
      <c r="E41" s="1" t="str">
        <f t="shared" ca="1" si="3"/>
        <v>2026-06-12</v>
      </c>
    </row>
    <row r="42" spans="1:5" x14ac:dyDescent="0.3">
      <c r="A42" t="s">
        <v>379</v>
      </c>
      <c r="B42" t="str">
        <f t="shared" ca="1" si="0"/>
        <v>V-943</v>
      </c>
      <c r="C42">
        <f t="shared" ca="1" si="1"/>
        <v>1258</v>
      </c>
      <c r="D42">
        <f t="shared" ca="1" si="2"/>
        <v>392</v>
      </c>
      <c r="E42" s="1" t="str">
        <f t="shared" ca="1" si="3"/>
        <v>2026-06-09</v>
      </c>
    </row>
    <row r="43" spans="1:5" x14ac:dyDescent="0.3">
      <c r="A43" t="s">
        <v>380</v>
      </c>
      <c r="B43" t="str">
        <f t="shared" ca="1" si="0"/>
        <v>V-915</v>
      </c>
      <c r="C43">
        <f t="shared" ca="1" si="1"/>
        <v>1212</v>
      </c>
      <c r="D43">
        <f t="shared" ca="1" si="2"/>
        <v>257</v>
      </c>
      <c r="E43" s="1" t="str">
        <f t="shared" ca="1" si="3"/>
        <v>2026-06-09</v>
      </c>
    </row>
    <row r="44" spans="1:5" x14ac:dyDescent="0.3">
      <c r="A44" t="s">
        <v>381</v>
      </c>
      <c r="B44" t="str">
        <f t="shared" ca="1" si="0"/>
        <v>V-908</v>
      </c>
      <c r="C44">
        <f t="shared" ca="1" si="1"/>
        <v>1114</v>
      </c>
      <c r="D44">
        <f t="shared" ca="1" si="2"/>
        <v>576</v>
      </c>
      <c r="E44" s="1" t="str">
        <f t="shared" ca="1" si="3"/>
        <v>2026-06-09</v>
      </c>
    </row>
    <row r="45" spans="1:5" x14ac:dyDescent="0.3">
      <c r="A45" t="s">
        <v>382</v>
      </c>
      <c r="B45" t="str">
        <f t="shared" ca="1" si="0"/>
        <v>V-907</v>
      </c>
      <c r="C45">
        <f t="shared" ca="1" si="1"/>
        <v>1014</v>
      </c>
      <c r="D45">
        <f t="shared" ca="1" si="2"/>
        <v>269</v>
      </c>
      <c r="E45" s="1" t="str">
        <f t="shared" ca="1" si="3"/>
        <v>2026-06-03</v>
      </c>
    </row>
    <row r="46" spans="1:5" x14ac:dyDescent="0.3">
      <c r="A46" t="s">
        <v>383</v>
      </c>
      <c r="B46" t="str">
        <f t="shared" ca="1" si="0"/>
        <v>V-909</v>
      </c>
      <c r="C46">
        <f t="shared" ca="1" si="1"/>
        <v>1019</v>
      </c>
      <c r="D46">
        <f t="shared" ca="1" si="2"/>
        <v>414</v>
      </c>
      <c r="E46" s="1" t="str">
        <f t="shared" ca="1" si="3"/>
        <v>2026-06-11</v>
      </c>
    </row>
    <row r="47" spans="1:5" x14ac:dyDescent="0.3">
      <c r="A47" t="s">
        <v>384</v>
      </c>
      <c r="B47" t="str">
        <f t="shared" ca="1" si="0"/>
        <v>V-922</v>
      </c>
      <c r="C47">
        <f t="shared" ca="1" si="1"/>
        <v>1258</v>
      </c>
      <c r="D47">
        <f t="shared" ca="1" si="2"/>
        <v>827</v>
      </c>
      <c r="E47" s="1" t="str">
        <f t="shared" ca="1" si="3"/>
        <v>2026-06-04</v>
      </c>
    </row>
    <row r="48" spans="1:5" x14ac:dyDescent="0.3">
      <c r="A48" t="s">
        <v>385</v>
      </c>
      <c r="B48" t="str">
        <f t="shared" ca="1" si="0"/>
        <v>V-949</v>
      </c>
      <c r="C48">
        <f t="shared" ca="1" si="1"/>
        <v>1175</v>
      </c>
      <c r="D48">
        <f t="shared" ca="1" si="2"/>
        <v>936</v>
      </c>
      <c r="E48" s="1" t="str">
        <f t="shared" ca="1" si="3"/>
        <v>2026-06-06</v>
      </c>
    </row>
    <row r="49" spans="1:5" x14ac:dyDescent="0.3">
      <c r="A49" t="s">
        <v>386</v>
      </c>
      <c r="B49" t="str">
        <f t="shared" ca="1" si="0"/>
        <v>V-949</v>
      </c>
      <c r="C49">
        <f t="shared" ca="1" si="1"/>
        <v>1027</v>
      </c>
      <c r="D49">
        <f t="shared" ca="1" si="2"/>
        <v>952</v>
      </c>
      <c r="E49" s="1" t="str">
        <f t="shared" ca="1" si="3"/>
        <v>2026-06-10</v>
      </c>
    </row>
    <row r="50" spans="1:5" x14ac:dyDescent="0.3">
      <c r="A50" t="s">
        <v>387</v>
      </c>
      <c r="B50" t="str">
        <f t="shared" ca="1" si="0"/>
        <v>V-914</v>
      </c>
      <c r="C50">
        <f t="shared" ca="1" si="1"/>
        <v>1007</v>
      </c>
      <c r="D50">
        <f t="shared" ca="1" si="2"/>
        <v>309</v>
      </c>
      <c r="E50" s="1" t="str">
        <f t="shared" ca="1" si="3"/>
        <v>2026-06-13</v>
      </c>
    </row>
    <row r="51" spans="1:5" x14ac:dyDescent="0.3">
      <c r="A51" t="s">
        <v>388</v>
      </c>
      <c r="B51" t="str">
        <f t="shared" ca="1" si="0"/>
        <v>V-904</v>
      </c>
      <c r="C51">
        <f t="shared" ca="1" si="1"/>
        <v>1208</v>
      </c>
      <c r="D51">
        <f t="shared" ca="1" si="2"/>
        <v>982</v>
      </c>
      <c r="E51" s="1" t="str">
        <f t="shared" ca="1" si="3"/>
        <v>2026-06-15</v>
      </c>
    </row>
    <row r="52" spans="1:5" x14ac:dyDescent="0.3">
      <c r="A52" t="s">
        <v>389</v>
      </c>
      <c r="B52" t="str">
        <f t="shared" ca="1" si="0"/>
        <v>V-915</v>
      </c>
      <c r="C52">
        <f t="shared" ca="1" si="1"/>
        <v>1238</v>
      </c>
      <c r="D52">
        <f t="shared" ca="1" si="2"/>
        <v>602</v>
      </c>
      <c r="E52" s="1" t="str">
        <f t="shared" ca="1" si="3"/>
        <v>2026-06-15</v>
      </c>
    </row>
    <row r="53" spans="1:5" x14ac:dyDescent="0.3">
      <c r="A53" t="s">
        <v>390</v>
      </c>
      <c r="B53" t="str">
        <f t="shared" ca="1" si="0"/>
        <v>V-930</v>
      </c>
      <c r="C53">
        <f t="shared" ca="1" si="1"/>
        <v>1131</v>
      </c>
      <c r="D53">
        <f t="shared" ca="1" si="2"/>
        <v>526</v>
      </c>
      <c r="E53" s="1" t="str">
        <f t="shared" ca="1" si="3"/>
        <v>2026-06-15</v>
      </c>
    </row>
    <row r="54" spans="1:5" x14ac:dyDescent="0.3">
      <c r="A54" t="s">
        <v>391</v>
      </c>
      <c r="B54" t="str">
        <f t="shared" ca="1" si="0"/>
        <v>V-926</v>
      </c>
      <c r="C54">
        <f t="shared" ca="1" si="1"/>
        <v>1257</v>
      </c>
      <c r="D54">
        <f t="shared" ca="1" si="2"/>
        <v>258</v>
      </c>
      <c r="E54" s="1" t="str">
        <f t="shared" ca="1" si="3"/>
        <v>2026-06-05</v>
      </c>
    </row>
    <row r="55" spans="1:5" x14ac:dyDescent="0.3">
      <c r="A55" t="s">
        <v>392</v>
      </c>
      <c r="B55" t="str">
        <f t="shared" ca="1" si="0"/>
        <v>V-925</v>
      </c>
      <c r="C55">
        <f t="shared" ca="1" si="1"/>
        <v>1065</v>
      </c>
      <c r="D55">
        <f t="shared" ca="1" si="2"/>
        <v>204</v>
      </c>
      <c r="E55" s="1" t="str">
        <f t="shared" ca="1" si="3"/>
        <v>2026-06-15</v>
      </c>
    </row>
    <row r="56" spans="1:5" x14ac:dyDescent="0.3">
      <c r="A56" t="s">
        <v>393</v>
      </c>
      <c r="B56" t="str">
        <f t="shared" ca="1" si="0"/>
        <v>V-946</v>
      </c>
      <c r="C56">
        <f t="shared" ca="1" si="1"/>
        <v>1044</v>
      </c>
      <c r="D56">
        <f t="shared" ca="1" si="2"/>
        <v>617</v>
      </c>
      <c r="E56" s="1" t="str">
        <f t="shared" ca="1" si="3"/>
        <v>2026-06-13</v>
      </c>
    </row>
    <row r="57" spans="1:5" x14ac:dyDescent="0.3">
      <c r="A57" t="s">
        <v>394</v>
      </c>
      <c r="B57" t="str">
        <f t="shared" ca="1" si="0"/>
        <v>V-909</v>
      </c>
      <c r="C57">
        <f t="shared" ca="1" si="1"/>
        <v>1011</v>
      </c>
      <c r="D57">
        <f t="shared" ca="1" si="2"/>
        <v>504</v>
      </c>
      <c r="E57" s="1" t="str">
        <f t="shared" ca="1" si="3"/>
        <v>2026-06-03</v>
      </c>
    </row>
    <row r="58" spans="1:5" x14ac:dyDescent="0.3">
      <c r="A58" t="s">
        <v>395</v>
      </c>
      <c r="B58" t="str">
        <f t="shared" ca="1" si="0"/>
        <v>V-950</v>
      </c>
      <c r="C58">
        <f t="shared" ca="1" si="1"/>
        <v>1075</v>
      </c>
      <c r="D58">
        <f t="shared" ca="1" si="2"/>
        <v>813</v>
      </c>
      <c r="E58" s="1" t="str">
        <f t="shared" ca="1" si="3"/>
        <v>2026-06-06</v>
      </c>
    </row>
    <row r="59" spans="1:5" x14ac:dyDescent="0.3">
      <c r="A59" t="s">
        <v>396</v>
      </c>
      <c r="B59" t="str">
        <f t="shared" ca="1" si="0"/>
        <v>V-906</v>
      </c>
      <c r="C59">
        <f t="shared" ca="1" si="1"/>
        <v>1210</v>
      </c>
      <c r="D59">
        <f t="shared" ca="1" si="2"/>
        <v>686</v>
      </c>
      <c r="E59" s="1" t="str">
        <f t="shared" ca="1" si="3"/>
        <v>2026-06-01</v>
      </c>
    </row>
    <row r="60" spans="1:5" x14ac:dyDescent="0.3">
      <c r="A60" t="s">
        <v>397</v>
      </c>
      <c r="B60" t="str">
        <f t="shared" ca="1" si="0"/>
        <v>V-904</v>
      </c>
      <c r="C60">
        <f t="shared" ca="1" si="1"/>
        <v>1064</v>
      </c>
      <c r="D60">
        <f t="shared" ca="1" si="2"/>
        <v>304</v>
      </c>
      <c r="E60" s="1" t="str">
        <f t="shared" ca="1" si="3"/>
        <v>2026-06-01</v>
      </c>
    </row>
    <row r="61" spans="1:5" x14ac:dyDescent="0.3">
      <c r="A61" t="s">
        <v>398</v>
      </c>
      <c r="B61" t="str">
        <f t="shared" ca="1" si="0"/>
        <v>V-934</v>
      </c>
      <c r="C61">
        <f t="shared" ca="1" si="1"/>
        <v>1008</v>
      </c>
      <c r="D61">
        <f t="shared" ca="1" si="2"/>
        <v>619</v>
      </c>
      <c r="E61" s="1" t="str">
        <f t="shared" ca="1" si="3"/>
        <v>2026-06-03</v>
      </c>
    </row>
    <row r="62" spans="1:5" x14ac:dyDescent="0.3">
      <c r="A62" t="s">
        <v>399</v>
      </c>
      <c r="B62" t="str">
        <f t="shared" ca="1" si="0"/>
        <v>V-923</v>
      </c>
      <c r="C62">
        <f t="shared" ca="1" si="1"/>
        <v>1003</v>
      </c>
      <c r="D62">
        <f t="shared" ca="1" si="2"/>
        <v>368</v>
      </c>
      <c r="E62" s="1" t="str">
        <f t="shared" ca="1" si="3"/>
        <v>2026-06-14</v>
      </c>
    </row>
    <row r="63" spans="1:5" x14ac:dyDescent="0.3">
      <c r="A63" t="s">
        <v>400</v>
      </c>
      <c r="B63" t="str">
        <f t="shared" ca="1" si="0"/>
        <v>V-905</v>
      </c>
      <c r="C63">
        <f t="shared" ca="1" si="1"/>
        <v>1121</v>
      </c>
      <c r="D63">
        <f t="shared" ca="1" si="2"/>
        <v>338</v>
      </c>
      <c r="E63" s="1" t="str">
        <f t="shared" ca="1" si="3"/>
        <v>2026-06-11</v>
      </c>
    </row>
    <row r="64" spans="1:5" x14ac:dyDescent="0.3">
      <c r="A64" t="s">
        <v>401</v>
      </c>
      <c r="B64" t="str">
        <f t="shared" ca="1" si="0"/>
        <v>V-905</v>
      </c>
      <c r="C64">
        <f t="shared" ca="1" si="1"/>
        <v>1046</v>
      </c>
      <c r="D64">
        <f t="shared" ca="1" si="2"/>
        <v>420</v>
      </c>
      <c r="E64" s="1" t="str">
        <f t="shared" ca="1" si="3"/>
        <v>2026-06-01</v>
      </c>
    </row>
    <row r="65" spans="1:5" x14ac:dyDescent="0.3">
      <c r="A65" t="s">
        <v>402</v>
      </c>
      <c r="B65" t="str">
        <f t="shared" ca="1" si="0"/>
        <v>V-916</v>
      </c>
      <c r="C65">
        <f t="shared" ca="1" si="1"/>
        <v>1077</v>
      </c>
      <c r="D65">
        <f t="shared" ca="1" si="2"/>
        <v>590</v>
      </c>
      <c r="E65" s="1" t="str">
        <f t="shared" ca="1" si="3"/>
        <v>2026-06-14</v>
      </c>
    </row>
    <row r="66" spans="1:5" x14ac:dyDescent="0.3">
      <c r="A66" t="s">
        <v>403</v>
      </c>
      <c r="B66" t="str">
        <f t="shared" ca="1" si="0"/>
        <v>V-926</v>
      </c>
      <c r="C66">
        <f t="shared" ca="1" si="1"/>
        <v>1197</v>
      </c>
      <c r="D66">
        <f t="shared" ca="1" si="2"/>
        <v>857</v>
      </c>
      <c r="E66" s="1" t="str">
        <f t="shared" ca="1" si="3"/>
        <v>2026-06-11</v>
      </c>
    </row>
    <row r="67" spans="1:5" x14ac:dyDescent="0.3">
      <c r="A67" t="s">
        <v>404</v>
      </c>
      <c r="B67" t="str">
        <f t="shared" ref="B67:B130" ca="1" si="4">"V-" &amp; RANDBETWEEN(901,950)</f>
        <v>V-940</v>
      </c>
      <c r="C67">
        <f t="shared" ref="C67:C130" ca="1" si="5">RANDBETWEEN(1001,1275)</f>
        <v>1263</v>
      </c>
      <c r="D67">
        <f t="shared" ref="D67:D130" ca="1" si="6">RANDBETWEEN(100,1000)</f>
        <v>251</v>
      </c>
      <c r="E67" s="1" t="str">
        <f t="shared" ref="E67:E130" ca="1" si="7">"2026-06-" &amp; TEXT(RANDBETWEEN(1,15),"00")</f>
        <v>2026-06-14</v>
      </c>
    </row>
    <row r="68" spans="1:5" x14ac:dyDescent="0.3">
      <c r="A68" t="s">
        <v>405</v>
      </c>
      <c r="B68" t="str">
        <f t="shared" ca="1" si="4"/>
        <v>V-935</v>
      </c>
      <c r="C68">
        <f t="shared" ca="1" si="5"/>
        <v>1090</v>
      </c>
      <c r="D68">
        <f t="shared" ca="1" si="6"/>
        <v>720</v>
      </c>
      <c r="E68" s="1" t="str">
        <f t="shared" ca="1" si="7"/>
        <v>2026-06-09</v>
      </c>
    </row>
    <row r="69" spans="1:5" x14ac:dyDescent="0.3">
      <c r="A69" t="s">
        <v>406</v>
      </c>
      <c r="B69" t="str">
        <f t="shared" ca="1" si="4"/>
        <v>V-925</v>
      </c>
      <c r="C69">
        <f t="shared" ca="1" si="5"/>
        <v>1144</v>
      </c>
      <c r="D69">
        <f t="shared" ca="1" si="6"/>
        <v>931</v>
      </c>
      <c r="E69" s="1" t="str">
        <f t="shared" ca="1" si="7"/>
        <v>2026-06-10</v>
      </c>
    </row>
    <row r="70" spans="1:5" x14ac:dyDescent="0.3">
      <c r="A70" t="s">
        <v>407</v>
      </c>
      <c r="B70" t="str">
        <f t="shared" ca="1" si="4"/>
        <v>V-914</v>
      </c>
      <c r="C70">
        <f t="shared" ca="1" si="5"/>
        <v>1062</v>
      </c>
      <c r="D70">
        <f t="shared" ca="1" si="6"/>
        <v>423</v>
      </c>
      <c r="E70" s="1" t="str">
        <f t="shared" ca="1" si="7"/>
        <v>2026-06-03</v>
      </c>
    </row>
    <row r="71" spans="1:5" x14ac:dyDescent="0.3">
      <c r="A71" t="s">
        <v>408</v>
      </c>
      <c r="B71" t="str">
        <f t="shared" ca="1" si="4"/>
        <v>V-902</v>
      </c>
      <c r="C71">
        <f t="shared" ca="1" si="5"/>
        <v>1049</v>
      </c>
      <c r="D71">
        <f t="shared" ca="1" si="6"/>
        <v>605</v>
      </c>
      <c r="E71" s="1" t="str">
        <f t="shared" ca="1" si="7"/>
        <v>2026-06-01</v>
      </c>
    </row>
    <row r="72" spans="1:5" x14ac:dyDescent="0.3">
      <c r="A72" t="s">
        <v>409</v>
      </c>
      <c r="B72" t="str">
        <f t="shared" ca="1" si="4"/>
        <v>V-943</v>
      </c>
      <c r="C72">
        <f t="shared" ca="1" si="5"/>
        <v>1041</v>
      </c>
      <c r="D72">
        <f t="shared" ca="1" si="6"/>
        <v>448</v>
      </c>
      <c r="E72" s="1" t="str">
        <f t="shared" ca="1" si="7"/>
        <v>2026-06-06</v>
      </c>
    </row>
    <row r="73" spans="1:5" x14ac:dyDescent="0.3">
      <c r="A73" t="s">
        <v>410</v>
      </c>
      <c r="B73" t="str">
        <f t="shared" ca="1" si="4"/>
        <v>V-901</v>
      </c>
      <c r="C73">
        <f t="shared" ca="1" si="5"/>
        <v>1076</v>
      </c>
      <c r="D73">
        <f t="shared" ca="1" si="6"/>
        <v>441</v>
      </c>
      <c r="E73" s="1" t="str">
        <f t="shared" ca="1" si="7"/>
        <v>2026-06-09</v>
      </c>
    </row>
    <row r="74" spans="1:5" x14ac:dyDescent="0.3">
      <c r="A74" t="s">
        <v>411</v>
      </c>
      <c r="B74" t="str">
        <f t="shared" ca="1" si="4"/>
        <v>V-920</v>
      </c>
      <c r="C74">
        <f t="shared" ca="1" si="5"/>
        <v>1138</v>
      </c>
      <c r="D74">
        <f t="shared" ca="1" si="6"/>
        <v>625</v>
      </c>
      <c r="E74" s="1" t="str">
        <f t="shared" ca="1" si="7"/>
        <v>2026-06-06</v>
      </c>
    </row>
    <row r="75" spans="1:5" x14ac:dyDescent="0.3">
      <c r="A75" t="s">
        <v>412</v>
      </c>
      <c r="B75" t="str">
        <f t="shared" ca="1" si="4"/>
        <v>V-901</v>
      </c>
      <c r="C75">
        <f t="shared" ca="1" si="5"/>
        <v>1120</v>
      </c>
      <c r="D75">
        <f t="shared" ca="1" si="6"/>
        <v>228</v>
      </c>
      <c r="E75" s="1" t="str">
        <f t="shared" ca="1" si="7"/>
        <v>2026-06-01</v>
      </c>
    </row>
    <row r="76" spans="1:5" x14ac:dyDescent="0.3">
      <c r="A76" t="s">
        <v>413</v>
      </c>
      <c r="B76" t="str">
        <f t="shared" ca="1" si="4"/>
        <v>V-945</v>
      </c>
      <c r="C76">
        <f t="shared" ca="1" si="5"/>
        <v>1120</v>
      </c>
      <c r="D76">
        <f t="shared" ca="1" si="6"/>
        <v>541</v>
      </c>
      <c r="E76" s="1" t="str">
        <f t="shared" ca="1" si="7"/>
        <v>2026-06-13</v>
      </c>
    </row>
    <row r="77" spans="1:5" x14ac:dyDescent="0.3">
      <c r="A77" t="s">
        <v>414</v>
      </c>
      <c r="B77" t="str">
        <f t="shared" ca="1" si="4"/>
        <v>V-920</v>
      </c>
      <c r="C77">
        <f t="shared" ca="1" si="5"/>
        <v>1224</v>
      </c>
      <c r="D77">
        <f t="shared" ca="1" si="6"/>
        <v>542</v>
      </c>
      <c r="E77" s="1" t="str">
        <f t="shared" ca="1" si="7"/>
        <v>2026-06-10</v>
      </c>
    </row>
    <row r="78" spans="1:5" x14ac:dyDescent="0.3">
      <c r="A78" t="s">
        <v>415</v>
      </c>
      <c r="B78" t="str">
        <f t="shared" ca="1" si="4"/>
        <v>V-929</v>
      </c>
      <c r="C78">
        <f t="shared" ca="1" si="5"/>
        <v>1074</v>
      </c>
      <c r="D78">
        <f t="shared" ca="1" si="6"/>
        <v>613</v>
      </c>
      <c r="E78" s="1" t="str">
        <f t="shared" ca="1" si="7"/>
        <v>2026-06-06</v>
      </c>
    </row>
    <row r="79" spans="1:5" x14ac:dyDescent="0.3">
      <c r="A79" t="s">
        <v>416</v>
      </c>
      <c r="B79" t="str">
        <f t="shared" ca="1" si="4"/>
        <v>V-914</v>
      </c>
      <c r="C79">
        <f t="shared" ca="1" si="5"/>
        <v>1240</v>
      </c>
      <c r="D79">
        <f t="shared" ca="1" si="6"/>
        <v>473</v>
      </c>
      <c r="E79" s="1" t="str">
        <f t="shared" ca="1" si="7"/>
        <v>2026-06-10</v>
      </c>
    </row>
    <row r="80" spans="1:5" x14ac:dyDescent="0.3">
      <c r="A80" t="s">
        <v>417</v>
      </c>
      <c r="B80" t="str">
        <f t="shared" ca="1" si="4"/>
        <v>V-923</v>
      </c>
      <c r="C80">
        <f t="shared" ca="1" si="5"/>
        <v>1149</v>
      </c>
      <c r="D80">
        <f t="shared" ca="1" si="6"/>
        <v>586</v>
      </c>
      <c r="E80" s="1" t="str">
        <f t="shared" ca="1" si="7"/>
        <v>2026-06-09</v>
      </c>
    </row>
    <row r="81" spans="1:5" x14ac:dyDescent="0.3">
      <c r="A81" t="s">
        <v>418</v>
      </c>
      <c r="B81" t="str">
        <f t="shared" ca="1" si="4"/>
        <v>V-901</v>
      </c>
      <c r="C81">
        <f t="shared" ca="1" si="5"/>
        <v>1056</v>
      </c>
      <c r="D81">
        <f t="shared" ca="1" si="6"/>
        <v>582</v>
      </c>
      <c r="E81" s="1" t="str">
        <f t="shared" ca="1" si="7"/>
        <v>2026-06-07</v>
      </c>
    </row>
    <row r="82" spans="1:5" x14ac:dyDescent="0.3">
      <c r="A82" t="s">
        <v>419</v>
      </c>
      <c r="B82" t="str">
        <f t="shared" ca="1" si="4"/>
        <v>V-940</v>
      </c>
      <c r="C82">
        <f t="shared" ca="1" si="5"/>
        <v>1259</v>
      </c>
      <c r="D82">
        <f t="shared" ca="1" si="6"/>
        <v>142</v>
      </c>
      <c r="E82" s="1" t="str">
        <f t="shared" ca="1" si="7"/>
        <v>2026-06-07</v>
      </c>
    </row>
    <row r="83" spans="1:5" x14ac:dyDescent="0.3">
      <c r="A83" t="s">
        <v>420</v>
      </c>
      <c r="B83" t="str">
        <f t="shared" ca="1" si="4"/>
        <v>V-938</v>
      </c>
      <c r="C83">
        <f t="shared" ca="1" si="5"/>
        <v>1032</v>
      </c>
      <c r="D83">
        <f t="shared" ca="1" si="6"/>
        <v>593</v>
      </c>
      <c r="E83" s="1" t="str">
        <f t="shared" ca="1" si="7"/>
        <v>2026-06-13</v>
      </c>
    </row>
    <row r="84" spans="1:5" x14ac:dyDescent="0.3">
      <c r="A84" t="s">
        <v>421</v>
      </c>
      <c r="B84" t="str">
        <f t="shared" ca="1" si="4"/>
        <v>V-931</v>
      </c>
      <c r="C84">
        <f t="shared" ca="1" si="5"/>
        <v>1083</v>
      </c>
      <c r="D84">
        <f t="shared" ca="1" si="6"/>
        <v>703</v>
      </c>
      <c r="E84" s="1" t="str">
        <f t="shared" ca="1" si="7"/>
        <v>2026-06-09</v>
      </c>
    </row>
    <row r="85" spans="1:5" x14ac:dyDescent="0.3">
      <c r="A85" t="s">
        <v>422</v>
      </c>
      <c r="B85" t="str">
        <f t="shared" ca="1" si="4"/>
        <v>V-936</v>
      </c>
      <c r="C85">
        <f t="shared" ca="1" si="5"/>
        <v>1004</v>
      </c>
      <c r="D85">
        <f t="shared" ca="1" si="6"/>
        <v>524</v>
      </c>
      <c r="E85" s="1" t="str">
        <f t="shared" ca="1" si="7"/>
        <v>2026-06-07</v>
      </c>
    </row>
    <row r="86" spans="1:5" x14ac:dyDescent="0.3">
      <c r="A86" t="s">
        <v>423</v>
      </c>
      <c r="B86" t="str">
        <f t="shared" ca="1" si="4"/>
        <v>V-939</v>
      </c>
      <c r="C86">
        <f t="shared" ca="1" si="5"/>
        <v>1051</v>
      </c>
      <c r="D86">
        <f t="shared" ca="1" si="6"/>
        <v>714</v>
      </c>
      <c r="E86" s="1" t="str">
        <f t="shared" ca="1" si="7"/>
        <v>2026-06-01</v>
      </c>
    </row>
    <row r="87" spans="1:5" x14ac:dyDescent="0.3">
      <c r="A87" t="s">
        <v>424</v>
      </c>
      <c r="B87" t="str">
        <f t="shared" ca="1" si="4"/>
        <v>V-948</v>
      </c>
      <c r="C87">
        <f t="shared" ca="1" si="5"/>
        <v>1073</v>
      </c>
      <c r="D87">
        <f t="shared" ca="1" si="6"/>
        <v>497</v>
      </c>
      <c r="E87" s="1" t="str">
        <f t="shared" ca="1" si="7"/>
        <v>2026-06-07</v>
      </c>
    </row>
    <row r="88" spans="1:5" x14ac:dyDescent="0.3">
      <c r="A88" t="s">
        <v>425</v>
      </c>
      <c r="B88" t="str">
        <f t="shared" ca="1" si="4"/>
        <v>V-922</v>
      </c>
      <c r="C88">
        <f t="shared" ca="1" si="5"/>
        <v>1139</v>
      </c>
      <c r="D88">
        <f t="shared" ca="1" si="6"/>
        <v>956</v>
      </c>
      <c r="E88" s="1" t="str">
        <f t="shared" ca="1" si="7"/>
        <v>2026-06-14</v>
      </c>
    </row>
    <row r="89" spans="1:5" x14ac:dyDescent="0.3">
      <c r="A89" t="s">
        <v>426</v>
      </c>
      <c r="B89" t="str">
        <f t="shared" ca="1" si="4"/>
        <v>V-935</v>
      </c>
      <c r="C89">
        <f t="shared" ca="1" si="5"/>
        <v>1269</v>
      </c>
      <c r="D89">
        <f t="shared" ca="1" si="6"/>
        <v>417</v>
      </c>
      <c r="E89" s="1" t="str">
        <f t="shared" ca="1" si="7"/>
        <v>2026-06-15</v>
      </c>
    </row>
    <row r="90" spans="1:5" x14ac:dyDescent="0.3">
      <c r="A90" t="s">
        <v>427</v>
      </c>
      <c r="B90" t="str">
        <f t="shared" ca="1" si="4"/>
        <v>V-916</v>
      </c>
      <c r="C90">
        <f t="shared" ca="1" si="5"/>
        <v>1019</v>
      </c>
      <c r="D90">
        <f t="shared" ca="1" si="6"/>
        <v>546</v>
      </c>
      <c r="E90" s="1" t="str">
        <f t="shared" ca="1" si="7"/>
        <v>2026-06-07</v>
      </c>
    </row>
    <row r="91" spans="1:5" x14ac:dyDescent="0.3">
      <c r="A91" t="s">
        <v>428</v>
      </c>
      <c r="B91" t="str">
        <f t="shared" ca="1" si="4"/>
        <v>V-933</v>
      </c>
      <c r="C91">
        <f t="shared" ca="1" si="5"/>
        <v>1100</v>
      </c>
      <c r="D91">
        <f t="shared" ca="1" si="6"/>
        <v>568</v>
      </c>
      <c r="E91" s="1" t="str">
        <f t="shared" ca="1" si="7"/>
        <v>2026-06-14</v>
      </c>
    </row>
    <row r="92" spans="1:5" x14ac:dyDescent="0.3">
      <c r="A92" t="s">
        <v>429</v>
      </c>
      <c r="B92" t="str">
        <f t="shared" ca="1" si="4"/>
        <v>V-931</v>
      </c>
      <c r="C92">
        <f t="shared" ca="1" si="5"/>
        <v>1004</v>
      </c>
      <c r="D92">
        <f t="shared" ca="1" si="6"/>
        <v>990</v>
      </c>
      <c r="E92" s="1" t="str">
        <f t="shared" ca="1" si="7"/>
        <v>2026-06-08</v>
      </c>
    </row>
    <row r="93" spans="1:5" x14ac:dyDescent="0.3">
      <c r="A93" t="s">
        <v>430</v>
      </c>
      <c r="B93" t="str">
        <f t="shared" ca="1" si="4"/>
        <v>V-906</v>
      </c>
      <c r="C93">
        <f t="shared" ca="1" si="5"/>
        <v>1079</v>
      </c>
      <c r="D93">
        <f t="shared" ca="1" si="6"/>
        <v>901</v>
      </c>
      <c r="E93" s="1" t="str">
        <f t="shared" ca="1" si="7"/>
        <v>2026-06-12</v>
      </c>
    </row>
    <row r="94" spans="1:5" x14ac:dyDescent="0.3">
      <c r="A94" t="s">
        <v>431</v>
      </c>
      <c r="B94" t="str">
        <f t="shared" ca="1" si="4"/>
        <v>V-901</v>
      </c>
      <c r="C94">
        <f t="shared" ca="1" si="5"/>
        <v>1075</v>
      </c>
      <c r="D94">
        <f t="shared" ca="1" si="6"/>
        <v>477</v>
      </c>
      <c r="E94" s="1" t="str">
        <f t="shared" ca="1" si="7"/>
        <v>2026-06-02</v>
      </c>
    </row>
    <row r="95" spans="1:5" x14ac:dyDescent="0.3">
      <c r="A95" t="s">
        <v>432</v>
      </c>
      <c r="B95" t="str">
        <f t="shared" ca="1" si="4"/>
        <v>V-935</v>
      </c>
      <c r="C95">
        <f t="shared" ca="1" si="5"/>
        <v>1114</v>
      </c>
      <c r="D95">
        <f t="shared" ca="1" si="6"/>
        <v>869</v>
      </c>
      <c r="E95" s="1" t="str">
        <f t="shared" ca="1" si="7"/>
        <v>2026-06-13</v>
      </c>
    </row>
    <row r="96" spans="1:5" x14ac:dyDescent="0.3">
      <c r="A96" t="s">
        <v>433</v>
      </c>
      <c r="B96" t="str">
        <f t="shared" ca="1" si="4"/>
        <v>V-929</v>
      </c>
      <c r="C96">
        <f t="shared" ca="1" si="5"/>
        <v>1038</v>
      </c>
      <c r="D96">
        <f t="shared" ca="1" si="6"/>
        <v>757</v>
      </c>
      <c r="E96" s="1" t="str">
        <f t="shared" ca="1" si="7"/>
        <v>2026-06-04</v>
      </c>
    </row>
    <row r="97" spans="1:5" x14ac:dyDescent="0.3">
      <c r="A97" t="s">
        <v>434</v>
      </c>
      <c r="B97" t="str">
        <f t="shared" ca="1" si="4"/>
        <v>V-932</v>
      </c>
      <c r="C97">
        <f t="shared" ca="1" si="5"/>
        <v>1245</v>
      </c>
      <c r="D97">
        <f t="shared" ca="1" si="6"/>
        <v>187</v>
      </c>
      <c r="E97" s="1" t="str">
        <f t="shared" ca="1" si="7"/>
        <v>2026-06-01</v>
      </c>
    </row>
    <row r="98" spans="1:5" x14ac:dyDescent="0.3">
      <c r="A98" t="s">
        <v>435</v>
      </c>
      <c r="B98" t="str">
        <f t="shared" ca="1" si="4"/>
        <v>V-918</v>
      </c>
      <c r="C98">
        <f t="shared" ca="1" si="5"/>
        <v>1160</v>
      </c>
      <c r="D98">
        <f t="shared" ca="1" si="6"/>
        <v>276</v>
      </c>
      <c r="E98" s="1" t="str">
        <f t="shared" ca="1" si="7"/>
        <v>2026-06-15</v>
      </c>
    </row>
    <row r="99" spans="1:5" x14ac:dyDescent="0.3">
      <c r="A99" t="s">
        <v>436</v>
      </c>
      <c r="B99" t="str">
        <f t="shared" ca="1" si="4"/>
        <v>V-931</v>
      </c>
      <c r="C99">
        <f t="shared" ca="1" si="5"/>
        <v>1064</v>
      </c>
      <c r="D99">
        <f t="shared" ca="1" si="6"/>
        <v>116</v>
      </c>
      <c r="E99" s="1" t="str">
        <f t="shared" ca="1" si="7"/>
        <v>2026-06-14</v>
      </c>
    </row>
    <row r="100" spans="1:5" x14ac:dyDescent="0.3">
      <c r="A100" t="s">
        <v>437</v>
      </c>
      <c r="B100" t="str">
        <f t="shared" ca="1" si="4"/>
        <v>V-946</v>
      </c>
      <c r="C100">
        <f t="shared" ca="1" si="5"/>
        <v>1159</v>
      </c>
      <c r="D100">
        <f t="shared" ca="1" si="6"/>
        <v>175</v>
      </c>
      <c r="E100" s="1" t="str">
        <f t="shared" ca="1" si="7"/>
        <v>2026-06-08</v>
      </c>
    </row>
    <row r="101" spans="1:5" x14ac:dyDescent="0.3">
      <c r="A101" t="s">
        <v>438</v>
      </c>
      <c r="B101" t="str">
        <f t="shared" ca="1" si="4"/>
        <v>V-933</v>
      </c>
      <c r="C101">
        <f t="shared" ca="1" si="5"/>
        <v>1041</v>
      </c>
      <c r="D101">
        <f t="shared" ca="1" si="6"/>
        <v>297</v>
      </c>
      <c r="E101" s="1" t="str">
        <f t="shared" ca="1" si="7"/>
        <v>2026-06-01</v>
      </c>
    </row>
    <row r="102" spans="1:5" x14ac:dyDescent="0.3">
      <c r="A102" t="s">
        <v>439</v>
      </c>
      <c r="B102" t="str">
        <f t="shared" ca="1" si="4"/>
        <v>V-910</v>
      </c>
      <c r="C102">
        <f t="shared" ca="1" si="5"/>
        <v>1071</v>
      </c>
      <c r="D102">
        <f t="shared" ca="1" si="6"/>
        <v>165</v>
      </c>
      <c r="E102" s="1" t="str">
        <f t="shared" ca="1" si="7"/>
        <v>2026-06-12</v>
      </c>
    </row>
    <row r="103" spans="1:5" x14ac:dyDescent="0.3">
      <c r="A103" t="s">
        <v>440</v>
      </c>
      <c r="B103" t="str">
        <f t="shared" ca="1" si="4"/>
        <v>V-927</v>
      </c>
      <c r="C103">
        <f t="shared" ca="1" si="5"/>
        <v>1140</v>
      </c>
      <c r="D103">
        <f t="shared" ca="1" si="6"/>
        <v>617</v>
      </c>
      <c r="E103" s="1" t="str">
        <f t="shared" ca="1" si="7"/>
        <v>2026-06-07</v>
      </c>
    </row>
    <row r="104" spans="1:5" x14ac:dyDescent="0.3">
      <c r="A104" t="s">
        <v>441</v>
      </c>
      <c r="B104" t="str">
        <f t="shared" ca="1" si="4"/>
        <v>V-932</v>
      </c>
      <c r="C104">
        <f t="shared" ca="1" si="5"/>
        <v>1091</v>
      </c>
      <c r="D104">
        <f t="shared" ca="1" si="6"/>
        <v>352</v>
      </c>
      <c r="E104" s="1" t="str">
        <f t="shared" ca="1" si="7"/>
        <v>2026-06-04</v>
      </c>
    </row>
    <row r="105" spans="1:5" x14ac:dyDescent="0.3">
      <c r="A105" t="s">
        <v>442</v>
      </c>
      <c r="B105" t="str">
        <f t="shared" ca="1" si="4"/>
        <v>V-909</v>
      </c>
      <c r="C105">
        <f t="shared" ca="1" si="5"/>
        <v>1165</v>
      </c>
      <c r="D105">
        <f t="shared" ca="1" si="6"/>
        <v>883</v>
      </c>
      <c r="E105" s="1" t="str">
        <f t="shared" ca="1" si="7"/>
        <v>2026-06-06</v>
      </c>
    </row>
    <row r="106" spans="1:5" x14ac:dyDescent="0.3">
      <c r="A106" t="s">
        <v>443</v>
      </c>
      <c r="B106" t="str">
        <f t="shared" ca="1" si="4"/>
        <v>V-943</v>
      </c>
      <c r="C106">
        <f t="shared" ca="1" si="5"/>
        <v>1225</v>
      </c>
      <c r="D106">
        <f t="shared" ca="1" si="6"/>
        <v>380</v>
      </c>
      <c r="E106" s="1" t="str">
        <f t="shared" ca="1" si="7"/>
        <v>2026-06-13</v>
      </c>
    </row>
    <row r="107" spans="1:5" x14ac:dyDescent="0.3">
      <c r="A107" t="s">
        <v>444</v>
      </c>
      <c r="B107" t="str">
        <f t="shared" ca="1" si="4"/>
        <v>V-946</v>
      </c>
      <c r="C107">
        <f t="shared" ca="1" si="5"/>
        <v>1049</v>
      </c>
      <c r="D107">
        <f t="shared" ca="1" si="6"/>
        <v>204</v>
      </c>
      <c r="E107" s="1" t="str">
        <f t="shared" ca="1" si="7"/>
        <v>2026-06-05</v>
      </c>
    </row>
    <row r="108" spans="1:5" x14ac:dyDescent="0.3">
      <c r="A108" t="s">
        <v>445</v>
      </c>
      <c r="B108" t="str">
        <f t="shared" ca="1" si="4"/>
        <v>V-922</v>
      </c>
      <c r="C108">
        <f t="shared" ca="1" si="5"/>
        <v>1238</v>
      </c>
      <c r="D108">
        <f t="shared" ca="1" si="6"/>
        <v>148</v>
      </c>
      <c r="E108" s="1" t="str">
        <f t="shared" ca="1" si="7"/>
        <v>2026-06-08</v>
      </c>
    </row>
    <row r="109" spans="1:5" x14ac:dyDescent="0.3">
      <c r="A109" t="s">
        <v>446</v>
      </c>
      <c r="B109" t="str">
        <f t="shared" ca="1" si="4"/>
        <v>V-944</v>
      </c>
      <c r="C109">
        <f t="shared" ca="1" si="5"/>
        <v>1151</v>
      </c>
      <c r="D109">
        <f t="shared" ca="1" si="6"/>
        <v>129</v>
      </c>
      <c r="E109" s="1" t="str">
        <f t="shared" ca="1" si="7"/>
        <v>2026-06-03</v>
      </c>
    </row>
    <row r="110" spans="1:5" x14ac:dyDescent="0.3">
      <c r="A110" t="s">
        <v>447</v>
      </c>
      <c r="B110" t="str">
        <f t="shared" ca="1" si="4"/>
        <v>V-938</v>
      </c>
      <c r="C110">
        <f t="shared" ca="1" si="5"/>
        <v>1204</v>
      </c>
      <c r="D110">
        <f t="shared" ca="1" si="6"/>
        <v>478</v>
      </c>
      <c r="E110" s="1" t="str">
        <f t="shared" ca="1" si="7"/>
        <v>2026-06-07</v>
      </c>
    </row>
    <row r="111" spans="1:5" x14ac:dyDescent="0.3">
      <c r="A111" t="s">
        <v>448</v>
      </c>
      <c r="B111" t="str">
        <f t="shared" ca="1" si="4"/>
        <v>V-940</v>
      </c>
      <c r="C111">
        <f t="shared" ca="1" si="5"/>
        <v>1254</v>
      </c>
      <c r="D111">
        <f t="shared" ca="1" si="6"/>
        <v>730</v>
      </c>
      <c r="E111" s="1" t="str">
        <f t="shared" ca="1" si="7"/>
        <v>2026-06-06</v>
      </c>
    </row>
    <row r="112" spans="1:5" x14ac:dyDescent="0.3">
      <c r="A112" t="s">
        <v>449</v>
      </c>
      <c r="B112" t="str">
        <f t="shared" ca="1" si="4"/>
        <v>V-911</v>
      </c>
      <c r="C112">
        <f t="shared" ca="1" si="5"/>
        <v>1274</v>
      </c>
      <c r="D112">
        <f t="shared" ca="1" si="6"/>
        <v>189</v>
      </c>
      <c r="E112" s="1" t="str">
        <f t="shared" ca="1" si="7"/>
        <v>2026-06-03</v>
      </c>
    </row>
    <row r="113" spans="1:5" x14ac:dyDescent="0.3">
      <c r="A113" t="s">
        <v>450</v>
      </c>
      <c r="B113" t="str">
        <f t="shared" ca="1" si="4"/>
        <v>V-948</v>
      </c>
      <c r="C113">
        <f t="shared" ca="1" si="5"/>
        <v>1156</v>
      </c>
      <c r="D113">
        <f t="shared" ca="1" si="6"/>
        <v>609</v>
      </c>
      <c r="E113" s="1" t="str">
        <f t="shared" ca="1" si="7"/>
        <v>2026-06-10</v>
      </c>
    </row>
    <row r="114" spans="1:5" x14ac:dyDescent="0.3">
      <c r="A114" t="s">
        <v>451</v>
      </c>
      <c r="B114" t="str">
        <f t="shared" ca="1" si="4"/>
        <v>V-928</v>
      </c>
      <c r="C114">
        <f t="shared" ca="1" si="5"/>
        <v>1051</v>
      </c>
      <c r="D114">
        <f t="shared" ca="1" si="6"/>
        <v>589</v>
      </c>
      <c r="E114" s="1" t="str">
        <f t="shared" ca="1" si="7"/>
        <v>2026-06-15</v>
      </c>
    </row>
    <row r="115" spans="1:5" x14ac:dyDescent="0.3">
      <c r="A115" t="s">
        <v>452</v>
      </c>
      <c r="B115" t="str">
        <f t="shared" ca="1" si="4"/>
        <v>V-935</v>
      </c>
      <c r="C115">
        <f t="shared" ca="1" si="5"/>
        <v>1176</v>
      </c>
      <c r="D115">
        <f t="shared" ca="1" si="6"/>
        <v>246</v>
      </c>
      <c r="E115" s="1" t="str">
        <f t="shared" ca="1" si="7"/>
        <v>2026-06-08</v>
      </c>
    </row>
    <row r="116" spans="1:5" x14ac:dyDescent="0.3">
      <c r="A116" t="s">
        <v>453</v>
      </c>
      <c r="B116" t="str">
        <f t="shared" ca="1" si="4"/>
        <v>V-925</v>
      </c>
      <c r="C116">
        <f t="shared" ca="1" si="5"/>
        <v>1019</v>
      </c>
      <c r="D116">
        <f t="shared" ca="1" si="6"/>
        <v>583</v>
      </c>
      <c r="E116" s="1" t="str">
        <f t="shared" ca="1" si="7"/>
        <v>2026-06-03</v>
      </c>
    </row>
    <row r="117" spans="1:5" x14ac:dyDescent="0.3">
      <c r="A117" t="s">
        <v>454</v>
      </c>
      <c r="B117" t="str">
        <f t="shared" ca="1" si="4"/>
        <v>V-928</v>
      </c>
      <c r="C117">
        <f t="shared" ca="1" si="5"/>
        <v>1069</v>
      </c>
      <c r="D117">
        <f t="shared" ca="1" si="6"/>
        <v>486</v>
      </c>
      <c r="E117" s="1" t="str">
        <f t="shared" ca="1" si="7"/>
        <v>2026-06-08</v>
      </c>
    </row>
    <row r="118" spans="1:5" x14ac:dyDescent="0.3">
      <c r="A118" t="s">
        <v>455</v>
      </c>
      <c r="B118" t="str">
        <f t="shared" ca="1" si="4"/>
        <v>V-908</v>
      </c>
      <c r="C118">
        <f t="shared" ca="1" si="5"/>
        <v>1128</v>
      </c>
      <c r="D118">
        <f t="shared" ca="1" si="6"/>
        <v>840</v>
      </c>
      <c r="E118" s="1" t="str">
        <f t="shared" ca="1" si="7"/>
        <v>2026-06-02</v>
      </c>
    </row>
    <row r="119" spans="1:5" x14ac:dyDescent="0.3">
      <c r="A119" t="s">
        <v>456</v>
      </c>
      <c r="B119" t="str">
        <f t="shared" ca="1" si="4"/>
        <v>V-931</v>
      </c>
      <c r="C119">
        <f t="shared" ca="1" si="5"/>
        <v>1219</v>
      </c>
      <c r="D119">
        <f t="shared" ca="1" si="6"/>
        <v>700</v>
      </c>
      <c r="E119" s="1" t="str">
        <f t="shared" ca="1" si="7"/>
        <v>2026-06-02</v>
      </c>
    </row>
    <row r="120" spans="1:5" x14ac:dyDescent="0.3">
      <c r="A120" t="s">
        <v>457</v>
      </c>
      <c r="B120" t="str">
        <f t="shared" ca="1" si="4"/>
        <v>V-907</v>
      </c>
      <c r="C120">
        <f t="shared" ca="1" si="5"/>
        <v>1271</v>
      </c>
      <c r="D120">
        <f t="shared" ca="1" si="6"/>
        <v>696</v>
      </c>
      <c r="E120" s="1" t="str">
        <f t="shared" ca="1" si="7"/>
        <v>2026-06-08</v>
      </c>
    </row>
    <row r="121" spans="1:5" x14ac:dyDescent="0.3">
      <c r="A121" t="s">
        <v>458</v>
      </c>
      <c r="B121" t="str">
        <f t="shared" ca="1" si="4"/>
        <v>V-931</v>
      </c>
      <c r="C121">
        <f t="shared" ca="1" si="5"/>
        <v>1244</v>
      </c>
      <c r="D121">
        <f t="shared" ca="1" si="6"/>
        <v>130</v>
      </c>
      <c r="E121" s="1" t="str">
        <f t="shared" ca="1" si="7"/>
        <v>2026-06-09</v>
      </c>
    </row>
    <row r="122" spans="1:5" x14ac:dyDescent="0.3">
      <c r="A122" t="s">
        <v>459</v>
      </c>
      <c r="B122" t="str">
        <f t="shared" ca="1" si="4"/>
        <v>V-914</v>
      </c>
      <c r="C122">
        <f t="shared" ca="1" si="5"/>
        <v>1220</v>
      </c>
      <c r="D122">
        <f t="shared" ca="1" si="6"/>
        <v>496</v>
      </c>
      <c r="E122" s="1" t="str">
        <f t="shared" ca="1" si="7"/>
        <v>2026-06-05</v>
      </c>
    </row>
    <row r="123" spans="1:5" x14ac:dyDescent="0.3">
      <c r="A123" t="s">
        <v>460</v>
      </c>
      <c r="B123" t="str">
        <f t="shared" ca="1" si="4"/>
        <v>V-904</v>
      </c>
      <c r="C123">
        <f t="shared" ca="1" si="5"/>
        <v>1024</v>
      </c>
      <c r="D123">
        <f t="shared" ca="1" si="6"/>
        <v>704</v>
      </c>
      <c r="E123" s="1" t="str">
        <f t="shared" ca="1" si="7"/>
        <v>2026-06-02</v>
      </c>
    </row>
    <row r="124" spans="1:5" x14ac:dyDescent="0.3">
      <c r="A124" t="s">
        <v>461</v>
      </c>
      <c r="B124" t="str">
        <f t="shared" ca="1" si="4"/>
        <v>V-934</v>
      </c>
      <c r="C124">
        <f t="shared" ca="1" si="5"/>
        <v>1201</v>
      </c>
      <c r="D124">
        <f t="shared" ca="1" si="6"/>
        <v>742</v>
      </c>
      <c r="E124" s="1" t="str">
        <f t="shared" ca="1" si="7"/>
        <v>2026-06-07</v>
      </c>
    </row>
    <row r="125" spans="1:5" x14ac:dyDescent="0.3">
      <c r="A125" t="s">
        <v>462</v>
      </c>
      <c r="B125" t="str">
        <f t="shared" ca="1" si="4"/>
        <v>V-906</v>
      </c>
      <c r="C125">
        <f t="shared" ca="1" si="5"/>
        <v>1212</v>
      </c>
      <c r="D125">
        <f t="shared" ca="1" si="6"/>
        <v>943</v>
      </c>
      <c r="E125" s="1" t="str">
        <f t="shared" ca="1" si="7"/>
        <v>2026-06-12</v>
      </c>
    </row>
    <row r="126" spans="1:5" x14ac:dyDescent="0.3">
      <c r="A126" t="s">
        <v>463</v>
      </c>
      <c r="B126" t="str">
        <f t="shared" ca="1" si="4"/>
        <v>V-941</v>
      </c>
      <c r="C126">
        <f t="shared" ca="1" si="5"/>
        <v>1128</v>
      </c>
      <c r="D126">
        <f t="shared" ca="1" si="6"/>
        <v>757</v>
      </c>
      <c r="E126" s="1" t="str">
        <f t="shared" ca="1" si="7"/>
        <v>2026-06-12</v>
      </c>
    </row>
    <row r="127" spans="1:5" x14ac:dyDescent="0.3">
      <c r="A127" t="s">
        <v>464</v>
      </c>
      <c r="B127" t="str">
        <f t="shared" ca="1" si="4"/>
        <v>V-937</v>
      </c>
      <c r="C127">
        <f t="shared" ca="1" si="5"/>
        <v>1198</v>
      </c>
      <c r="D127">
        <f t="shared" ca="1" si="6"/>
        <v>511</v>
      </c>
      <c r="E127" s="1" t="str">
        <f t="shared" ca="1" si="7"/>
        <v>2026-06-12</v>
      </c>
    </row>
    <row r="128" spans="1:5" x14ac:dyDescent="0.3">
      <c r="A128" t="s">
        <v>465</v>
      </c>
      <c r="B128" t="str">
        <f t="shared" ca="1" si="4"/>
        <v>V-941</v>
      </c>
      <c r="C128">
        <f t="shared" ca="1" si="5"/>
        <v>1164</v>
      </c>
      <c r="D128">
        <f t="shared" ca="1" si="6"/>
        <v>144</v>
      </c>
      <c r="E128" s="1" t="str">
        <f t="shared" ca="1" si="7"/>
        <v>2026-06-11</v>
      </c>
    </row>
    <row r="129" spans="1:5" x14ac:dyDescent="0.3">
      <c r="A129" t="s">
        <v>466</v>
      </c>
      <c r="B129" t="str">
        <f t="shared" ca="1" si="4"/>
        <v>V-922</v>
      </c>
      <c r="C129">
        <f t="shared" ca="1" si="5"/>
        <v>1141</v>
      </c>
      <c r="D129">
        <f t="shared" ca="1" si="6"/>
        <v>791</v>
      </c>
      <c r="E129" s="1" t="str">
        <f t="shared" ca="1" si="7"/>
        <v>2026-06-04</v>
      </c>
    </row>
    <row r="130" spans="1:5" x14ac:dyDescent="0.3">
      <c r="A130" t="s">
        <v>467</v>
      </c>
      <c r="B130" t="str">
        <f t="shared" ca="1" si="4"/>
        <v>V-947</v>
      </c>
      <c r="C130">
        <f t="shared" ca="1" si="5"/>
        <v>1229</v>
      </c>
      <c r="D130">
        <f t="shared" ca="1" si="6"/>
        <v>261</v>
      </c>
      <c r="E130" s="1" t="str">
        <f t="shared" ca="1" si="7"/>
        <v>2026-06-11</v>
      </c>
    </row>
    <row r="131" spans="1:5" x14ac:dyDescent="0.3">
      <c r="A131" t="s">
        <v>468</v>
      </c>
      <c r="B131" t="str">
        <f t="shared" ref="B131:B150" ca="1" si="8">"V-" &amp; RANDBETWEEN(901,950)</f>
        <v>V-930</v>
      </c>
      <c r="C131">
        <f t="shared" ref="C131:C150" ca="1" si="9">RANDBETWEEN(1001,1275)</f>
        <v>1124</v>
      </c>
      <c r="D131">
        <f t="shared" ref="D131:D150" ca="1" si="10">RANDBETWEEN(100,1000)</f>
        <v>811</v>
      </c>
      <c r="E131" s="1" t="str">
        <f t="shared" ref="E131:E150" ca="1" si="11">"2026-06-" &amp; TEXT(RANDBETWEEN(1,15),"00")</f>
        <v>2026-06-02</v>
      </c>
    </row>
    <row r="132" spans="1:5" x14ac:dyDescent="0.3">
      <c r="A132" t="s">
        <v>469</v>
      </c>
      <c r="B132" t="str">
        <f t="shared" ca="1" si="8"/>
        <v>V-943</v>
      </c>
      <c r="C132">
        <f t="shared" ca="1" si="9"/>
        <v>1035</v>
      </c>
      <c r="D132">
        <f t="shared" ca="1" si="10"/>
        <v>878</v>
      </c>
      <c r="E132" s="1" t="str">
        <f t="shared" ca="1" si="11"/>
        <v>2026-06-14</v>
      </c>
    </row>
    <row r="133" spans="1:5" x14ac:dyDescent="0.3">
      <c r="A133" t="s">
        <v>470</v>
      </c>
      <c r="B133" t="str">
        <f t="shared" ca="1" si="8"/>
        <v>V-950</v>
      </c>
      <c r="C133">
        <f t="shared" ca="1" si="9"/>
        <v>1093</v>
      </c>
      <c r="D133">
        <f t="shared" ca="1" si="10"/>
        <v>100</v>
      </c>
      <c r="E133" s="1" t="str">
        <f t="shared" ca="1" si="11"/>
        <v>2026-06-03</v>
      </c>
    </row>
    <row r="134" spans="1:5" x14ac:dyDescent="0.3">
      <c r="A134" t="s">
        <v>471</v>
      </c>
      <c r="B134" t="str">
        <f t="shared" ca="1" si="8"/>
        <v>V-919</v>
      </c>
      <c r="C134">
        <f t="shared" ca="1" si="9"/>
        <v>1216</v>
      </c>
      <c r="D134">
        <f t="shared" ca="1" si="10"/>
        <v>403</v>
      </c>
      <c r="E134" s="1" t="str">
        <f t="shared" ca="1" si="11"/>
        <v>2026-06-01</v>
      </c>
    </row>
    <row r="135" spans="1:5" x14ac:dyDescent="0.3">
      <c r="A135" t="s">
        <v>472</v>
      </c>
      <c r="B135" t="str">
        <f t="shared" ca="1" si="8"/>
        <v>V-910</v>
      </c>
      <c r="C135">
        <f t="shared" ca="1" si="9"/>
        <v>1134</v>
      </c>
      <c r="D135">
        <f t="shared" ca="1" si="10"/>
        <v>495</v>
      </c>
      <c r="E135" s="1" t="str">
        <f t="shared" ca="1" si="11"/>
        <v>2026-06-15</v>
      </c>
    </row>
    <row r="136" spans="1:5" x14ac:dyDescent="0.3">
      <c r="A136" t="s">
        <v>473</v>
      </c>
      <c r="B136" t="str">
        <f t="shared" ca="1" si="8"/>
        <v>V-917</v>
      </c>
      <c r="C136">
        <f t="shared" ca="1" si="9"/>
        <v>1246</v>
      </c>
      <c r="D136">
        <f t="shared" ca="1" si="10"/>
        <v>661</v>
      </c>
      <c r="E136" s="1" t="str">
        <f t="shared" ca="1" si="11"/>
        <v>2026-06-06</v>
      </c>
    </row>
    <row r="137" spans="1:5" x14ac:dyDescent="0.3">
      <c r="A137" t="s">
        <v>474</v>
      </c>
      <c r="B137" t="str">
        <f t="shared" ca="1" si="8"/>
        <v>V-905</v>
      </c>
      <c r="C137">
        <f t="shared" ca="1" si="9"/>
        <v>1166</v>
      </c>
      <c r="D137">
        <f t="shared" ca="1" si="10"/>
        <v>455</v>
      </c>
      <c r="E137" s="1" t="str">
        <f t="shared" ca="1" si="11"/>
        <v>2026-06-06</v>
      </c>
    </row>
    <row r="138" spans="1:5" x14ac:dyDescent="0.3">
      <c r="A138" t="s">
        <v>475</v>
      </c>
      <c r="B138" t="str">
        <f t="shared" ca="1" si="8"/>
        <v>V-942</v>
      </c>
      <c r="C138">
        <f t="shared" ca="1" si="9"/>
        <v>1003</v>
      </c>
      <c r="D138">
        <f t="shared" ca="1" si="10"/>
        <v>250</v>
      </c>
      <c r="E138" s="1" t="str">
        <f t="shared" ca="1" si="11"/>
        <v>2026-06-11</v>
      </c>
    </row>
    <row r="139" spans="1:5" x14ac:dyDescent="0.3">
      <c r="A139" t="s">
        <v>476</v>
      </c>
      <c r="B139" t="str">
        <f t="shared" ca="1" si="8"/>
        <v>V-949</v>
      </c>
      <c r="C139">
        <f t="shared" ca="1" si="9"/>
        <v>1226</v>
      </c>
      <c r="D139">
        <f t="shared" ca="1" si="10"/>
        <v>679</v>
      </c>
      <c r="E139" s="1" t="str">
        <f t="shared" ca="1" si="11"/>
        <v>2026-06-05</v>
      </c>
    </row>
    <row r="140" spans="1:5" x14ac:dyDescent="0.3">
      <c r="A140" t="s">
        <v>477</v>
      </c>
      <c r="B140" t="str">
        <f t="shared" ca="1" si="8"/>
        <v>V-906</v>
      </c>
      <c r="C140">
        <f t="shared" ca="1" si="9"/>
        <v>1145</v>
      </c>
      <c r="D140">
        <f t="shared" ca="1" si="10"/>
        <v>230</v>
      </c>
      <c r="E140" s="1" t="str">
        <f t="shared" ca="1" si="11"/>
        <v>2026-06-08</v>
      </c>
    </row>
    <row r="141" spans="1:5" x14ac:dyDescent="0.3">
      <c r="A141" t="s">
        <v>478</v>
      </c>
      <c r="B141" t="str">
        <f t="shared" ca="1" si="8"/>
        <v>V-915</v>
      </c>
      <c r="C141">
        <f t="shared" ca="1" si="9"/>
        <v>1169</v>
      </c>
      <c r="D141">
        <f t="shared" ca="1" si="10"/>
        <v>165</v>
      </c>
      <c r="E141" s="1" t="str">
        <f t="shared" ca="1" si="11"/>
        <v>2026-06-09</v>
      </c>
    </row>
    <row r="142" spans="1:5" x14ac:dyDescent="0.3">
      <c r="A142" t="s">
        <v>479</v>
      </c>
      <c r="B142" t="str">
        <f t="shared" ca="1" si="8"/>
        <v>V-936</v>
      </c>
      <c r="C142">
        <f t="shared" ca="1" si="9"/>
        <v>1074</v>
      </c>
      <c r="D142">
        <f t="shared" ca="1" si="10"/>
        <v>187</v>
      </c>
      <c r="E142" s="1" t="str">
        <f t="shared" ca="1" si="11"/>
        <v>2026-06-01</v>
      </c>
    </row>
    <row r="143" spans="1:5" x14ac:dyDescent="0.3">
      <c r="A143" t="s">
        <v>480</v>
      </c>
      <c r="B143" t="str">
        <f t="shared" ca="1" si="8"/>
        <v>V-936</v>
      </c>
      <c r="C143">
        <f t="shared" ca="1" si="9"/>
        <v>1022</v>
      </c>
      <c r="D143">
        <f t="shared" ca="1" si="10"/>
        <v>654</v>
      </c>
      <c r="E143" s="1" t="str">
        <f t="shared" ca="1" si="11"/>
        <v>2026-06-04</v>
      </c>
    </row>
    <row r="144" spans="1:5" x14ac:dyDescent="0.3">
      <c r="A144" t="s">
        <v>481</v>
      </c>
      <c r="B144" t="str">
        <f t="shared" ca="1" si="8"/>
        <v>V-912</v>
      </c>
      <c r="C144">
        <f t="shared" ca="1" si="9"/>
        <v>1147</v>
      </c>
      <c r="D144">
        <f t="shared" ca="1" si="10"/>
        <v>138</v>
      </c>
      <c r="E144" s="1" t="str">
        <f t="shared" ca="1" si="11"/>
        <v>2026-06-10</v>
      </c>
    </row>
    <row r="145" spans="1:5" x14ac:dyDescent="0.3">
      <c r="A145" t="s">
        <v>482</v>
      </c>
      <c r="B145" t="str">
        <f t="shared" ca="1" si="8"/>
        <v>V-947</v>
      </c>
      <c r="C145">
        <f t="shared" ca="1" si="9"/>
        <v>1120</v>
      </c>
      <c r="D145">
        <f t="shared" ca="1" si="10"/>
        <v>641</v>
      </c>
      <c r="E145" s="1" t="str">
        <f t="shared" ca="1" si="11"/>
        <v>2026-06-02</v>
      </c>
    </row>
    <row r="146" spans="1:5" x14ac:dyDescent="0.3">
      <c r="A146" t="s">
        <v>483</v>
      </c>
      <c r="B146" t="str">
        <f t="shared" ca="1" si="8"/>
        <v>V-915</v>
      </c>
      <c r="C146">
        <f t="shared" ca="1" si="9"/>
        <v>1161</v>
      </c>
      <c r="D146">
        <f t="shared" ca="1" si="10"/>
        <v>413</v>
      </c>
      <c r="E146" s="1" t="str">
        <f t="shared" ca="1" si="11"/>
        <v>2026-06-12</v>
      </c>
    </row>
    <row r="147" spans="1:5" x14ac:dyDescent="0.3">
      <c r="A147" t="s">
        <v>484</v>
      </c>
      <c r="B147" t="str">
        <f t="shared" ca="1" si="8"/>
        <v>V-936</v>
      </c>
      <c r="C147">
        <f t="shared" ca="1" si="9"/>
        <v>1093</v>
      </c>
      <c r="D147">
        <f t="shared" ca="1" si="10"/>
        <v>794</v>
      </c>
      <c r="E147" s="1" t="str">
        <f t="shared" ca="1" si="11"/>
        <v>2026-06-09</v>
      </c>
    </row>
    <row r="148" spans="1:5" x14ac:dyDescent="0.3">
      <c r="A148" t="s">
        <v>485</v>
      </c>
      <c r="B148" t="str">
        <f t="shared" ca="1" si="8"/>
        <v>V-911</v>
      </c>
      <c r="C148">
        <f t="shared" ca="1" si="9"/>
        <v>1139</v>
      </c>
      <c r="D148">
        <f t="shared" ca="1" si="10"/>
        <v>778</v>
      </c>
      <c r="E148" s="1" t="str">
        <f t="shared" ca="1" si="11"/>
        <v>2026-06-15</v>
      </c>
    </row>
    <row r="149" spans="1:5" x14ac:dyDescent="0.3">
      <c r="A149" t="s">
        <v>486</v>
      </c>
      <c r="B149" t="str">
        <f t="shared" ca="1" si="8"/>
        <v>V-932</v>
      </c>
      <c r="C149">
        <f t="shared" ca="1" si="9"/>
        <v>1044</v>
      </c>
      <c r="D149">
        <f t="shared" ca="1" si="10"/>
        <v>164</v>
      </c>
      <c r="E149" s="1" t="str">
        <f t="shared" ca="1" si="11"/>
        <v>2026-06-14</v>
      </c>
    </row>
    <row r="150" spans="1:5" x14ac:dyDescent="0.3">
      <c r="A150" t="s">
        <v>487</v>
      </c>
      <c r="B150" t="str">
        <f t="shared" ca="1" si="8"/>
        <v>V-926</v>
      </c>
      <c r="C150">
        <f t="shared" ca="1" si="9"/>
        <v>1135</v>
      </c>
      <c r="D150">
        <f t="shared" ca="1" si="10"/>
        <v>174</v>
      </c>
      <c r="E150" s="1" t="str">
        <f t="shared" ca="1" si="11"/>
        <v>2026-06-02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664E-3A19-4482-9385-A32F1925325B}">
  <dimension ref="A1:I150"/>
  <sheetViews>
    <sheetView workbookViewId="0">
      <selection activeCell="K12" sqref="K12"/>
    </sheetView>
  </sheetViews>
  <sheetFormatPr defaultRowHeight="14.4" x14ac:dyDescent="0.3"/>
  <cols>
    <col min="1" max="1" width="8.88671875" customWidth="1"/>
    <col min="2" max="2" width="11.5546875" customWidth="1"/>
    <col min="3" max="3" width="11.33203125" customWidth="1"/>
    <col min="4" max="4" width="12.5546875" customWidth="1"/>
    <col min="6" max="6" width="10.6640625" customWidth="1"/>
    <col min="7" max="7" width="11.33203125" bestFit="1" customWidth="1"/>
    <col min="8" max="8" width="11.6640625" customWidth="1"/>
    <col min="9" max="9" width="33.33203125" customWidth="1"/>
  </cols>
  <sheetData>
    <row r="1" spans="1:9" x14ac:dyDescent="0.3">
      <c r="A1" t="s">
        <v>21</v>
      </c>
      <c r="B1" t="s">
        <v>22</v>
      </c>
      <c r="C1" t="s">
        <v>14</v>
      </c>
      <c r="D1" t="s">
        <v>23</v>
      </c>
      <c r="E1" t="s">
        <v>16</v>
      </c>
      <c r="F1" t="s">
        <v>24</v>
      </c>
      <c r="G1" t="s">
        <v>25</v>
      </c>
      <c r="H1" t="s">
        <v>26</v>
      </c>
      <c r="I1" t="s">
        <v>27</v>
      </c>
    </row>
    <row r="2" spans="1:9" x14ac:dyDescent="0.3">
      <c r="A2" t="s">
        <v>28</v>
      </c>
      <c r="B2" s="1" t="str">
        <f ca="1">"2026-06-" &amp; RANDBETWEEN(16,25)</f>
        <v>2026-06-19</v>
      </c>
      <c r="C2" t="str">
        <f>"PO-" &amp; (ROW()+799)</f>
        <v>PO-801</v>
      </c>
      <c r="D2" t="str">
        <f ca="1">"T-0" &amp; RANDBETWEEN(1,5)</f>
        <v>T-03</v>
      </c>
      <c r="E2">
        <f ca="1">'Purchase Orders '!C2</f>
        <v>1045</v>
      </c>
      <c r="F2">
        <f ca="1">'Purchase Orders '!D2</f>
        <v>718</v>
      </c>
      <c r="G2">
        <f ca="1">ROUND(F2 * RANDBETWEEN(95,100)/100, 0)</f>
        <v>718</v>
      </c>
      <c r="H2">
        <f ca="1">F2-G2</f>
        <v>0</v>
      </c>
      <c r="I2" t="str">
        <f ca="1">IF(H2=0, "All items passed inspection", H2 &amp; " units rejected due to transit damage")</f>
        <v>All items passed inspection</v>
      </c>
    </row>
    <row r="3" spans="1:9" x14ac:dyDescent="0.3">
      <c r="A3" t="s">
        <v>488</v>
      </c>
      <c r="B3" s="1" t="str">
        <f t="shared" ref="B3:B66" ca="1" si="0">"2026-06-" &amp; RANDBETWEEN(16,25)</f>
        <v>2026-06-19</v>
      </c>
      <c r="C3" t="str">
        <f t="shared" ref="C3:C66" si="1">"PO-" &amp; (ROW()+799)</f>
        <v>PO-802</v>
      </c>
      <c r="D3" t="str">
        <f t="shared" ref="D3:D66" ca="1" si="2">"T-0" &amp; RANDBETWEEN(1,5)</f>
        <v>T-02</v>
      </c>
      <c r="E3">
        <f ca="1">'Purchase Orders '!C3</f>
        <v>1203</v>
      </c>
      <c r="F3">
        <f ca="1">'Purchase Orders '!D3</f>
        <v>451</v>
      </c>
      <c r="G3">
        <f t="shared" ref="G3:G66" ca="1" si="3">ROUND(F3 * RANDBETWEEN(95,100)/100, 0)</f>
        <v>446</v>
      </c>
      <c r="H3">
        <f t="shared" ref="H3:H66" ca="1" si="4">F3-G3</f>
        <v>5</v>
      </c>
      <c r="I3" t="str">
        <f t="shared" ref="I3:I66" ca="1" si="5">IF(H3=0, "All items passed inspection", H3 &amp; " units rejected due to transit damage")</f>
        <v>5 units rejected due to transit damage</v>
      </c>
    </row>
    <row r="4" spans="1:9" x14ac:dyDescent="0.3">
      <c r="A4" t="s">
        <v>489</v>
      </c>
      <c r="B4" s="1" t="str">
        <f t="shared" ca="1" si="0"/>
        <v>2026-06-25</v>
      </c>
      <c r="C4" t="str">
        <f t="shared" si="1"/>
        <v>PO-803</v>
      </c>
      <c r="D4" t="str">
        <f t="shared" ca="1" si="2"/>
        <v>T-05</v>
      </c>
      <c r="E4">
        <f ca="1">'Purchase Orders '!C4</f>
        <v>1105</v>
      </c>
      <c r="F4">
        <f ca="1">'Purchase Orders '!D4</f>
        <v>566</v>
      </c>
      <c r="G4">
        <f t="shared" ca="1" si="3"/>
        <v>549</v>
      </c>
      <c r="H4">
        <f t="shared" ca="1" si="4"/>
        <v>17</v>
      </c>
      <c r="I4" t="str">
        <f t="shared" ca="1" si="5"/>
        <v>17 units rejected due to transit damage</v>
      </c>
    </row>
    <row r="5" spans="1:9" x14ac:dyDescent="0.3">
      <c r="A5" t="s">
        <v>490</v>
      </c>
      <c r="B5" s="1" t="str">
        <f t="shared" ca="1" si="0"/>
        <v>2026-06-23</v>
      </c>
      <c r="C5" t="str">
        <f t="shared" si="1"/>
        <v>PO-804</v>
      </c>
      <c r="D5" t="str">
        <f t="shared" ca="1" si="2"/>
        <v>T-03</v>
      </c>
      <c r="E5">
        <f ca="1">'Purchase Orders '!C5</f>
        <v>1190</v>
      </c>
      <c r="F5">
        <f ca="1">'Purchase Orders '!D5</f>
        <v>853</v>
      </c>
      <c r="G5">
        <f t="shared" ca="1" si="3"/>
        <v>844</v>
      </c>
      <c r="H5">
        <f t="shared" ca="1" si="4"/>
        <v>9</v>
      </c>
      <c r="I5" t="str">
        <f t="shared" ca="1" si="5"/>
        <v>9 units rejected due to transit damage</v>
      </c>
    </row>
    <row r="6" spans="1:9" x14ac:dyDescent="0.3">
      <c r="A6" t="s">
        <v>491</v>
      </c>
      <c r="B6" s="1" t="str">
        <f t="shared" ca="1" si="0"/>
        <v>2026-06-18</v>
      </c>
      <c r="C6" t="str">
        <f t="shared" si="1"/>
        <v>PO-805</v>
      </c>
      <c r="D6" t="str">
        <f t="shared" ca="1" si="2"/>
        <v>T-01</v>
      </c>
      <c r="E6">
        <f ca="1">'Purchase Orders '!C6</f>
        <v>1033</v>
      </c>
      <c r="F6">
        <f ca="1">'Purchase Orders '!D6</f>
        <v>583</v>
      </c>
      <c r="G6">
        <f t="shared" ca="1" si="3"/>
        <v>566</v>
      </c>
      <c r="H6">
        <f t="shared" ca="1" si="4"/>
        <v>17</v>
      </c>
      <c r="I6" t="str">
        <f t="shared" ca="1" si="5"/>
        <v>17 units rejected due to transit damage</v>
      </c>
    </row>
    <row r="7" spans="1:9" x14ac:dyDescent="0.3">
      <c r="A7" t="s">
        <v>492</v>
      </c>
      <c r="B7" s="1" t="str">
        <f t="shared" ca="1" si="0"/>
        <v>2026-06-22</v>
      </c>
      <c r="C7" t="str">
        <f t="shared" si="1"/>
        <v>PO-806</v>
      </c>
      <c r="D7" t="str">
        <f t="shared" ca="1" si="2"/>
        <v>T-05</v>
      </c>
      <c r="E7">
        <f ca="1">'Purchase Orders '!C7</f>
        <v>1047</v>
      </c>
      <c r="F7">
        <f ca="1">'Purchase Orders '!D7</f>
        <v>696</v>
      </c>
      <c r="G7">
        <f t="shared" ca="1" si="3"/>
        <v>675</v>
      </c>
      <c r="H7">
        <f t="shared" ca="1" si="4"/>
        <v>21</v>
      </c>
      <c r="I7" t="str">
        <f t="shared" ca="1" si="5"/>
        <v>21 units rejected due to transit damage</v>
      </c>
    </row>
    <row r="8" spans="1:9" x14ac:dyDescent="0.3">
      <c r="A8" t="s">
        <v>493</v>
      </c>
      <c r="B8" s="1" t="str">
        <f t="shared" ca="1" si="0"/>
        <v>2026-06-25</v>
      </c>
      <c r="C8" t="str">
        <f t="shared" si="1"/>
        <v>PO-807</v>
      </c>
      <c r="D8" t="str">
        <f t="shared" ca="1" si="2"/>
        <v>T-02</v>
      </c>
      <c r="E8">
        <f ca="1">'Purchase Orders '!C8</f>
        <v>1212</v>
      </c>
      <c r="F8">
        <f ca="1">'Purchase Orders '!D8</f>
        <v>674</v>
      </c>
      <c r="G8">
        <f t="shared" ca="1" si="3"/>
        <v>674</v>
      </c>
      <c r="H8">
        <f t="shared" ca="1" si="4"/>
        <v>0</v>
      </c>
      <c r="I8" t="str">
        <f t="shared" ca="1" si="5"/>
        <v>All items passed inspection</v>
      </c>
    </row>
    <row r="9" spans="1:9" x14ac:dyDescent="0.3">
      <c r="A9" t="s">
        <v>494</v>
      </c>
      <c r="B9" s="1" t="str">
        <f t="shared" ca="1" si="0"/>
        <v>2026-06-17</v>
      </c>
      <c r="C9" t="str">
        <f t="shared" si="1"/>
        <v>PO-808</v>
      </c>
      <c r="D9" t="str">
        <f t="shared" ca="1" si="2"/>
        <v>T-04</v>
      </c>
      <c r="E9">
        <f ca="1">'Purchase Orders '!C9</f>
        <v>1164</v>
      </c>
      <c r="F9">
        <f ca="1">'Purchase Orders '!D9</f>
        <v>669</v>
      </c>
      <c r="G9">
        <f t="shared" ca="1" si="3"/>
        <v>636</v>
      </c>
      <c r="H9">
        <f t="shared" ca="1" si="4"/>
        <v>33</v>
      </c>
      <c r="I9" t="str">
        <f t="shared" ca="1" si="5"/>
        <v>33 units rejected due to transit damage</v>
      </c>
    </row>
    <row r="10" spans="1:9" x14ac:dyDescent="0.3">
      <c r="A10" t="s">
        <v>495</v>
      </c>
      <c r="B10" s="1" t="str">
        <f t="shared" ca="1" si="0"/>
        <v>2026-06-23</v>
      </c>
      <c r="C10" t="str">
        <f t="shared" si="1"/>
        <v>PO-809</v>
      </c>
      <c r="D10" t="str">
        <f t="shared" ca="1" si="2"/>
        <v>T-01</v>
      </c>
      <c r="E10">
        <f ca="1">'Purchase Orders '!C10</f>
        <v>1231</v>
      </c>
      <c r="F10">
        <f ca="1">'Purchase Orders '!D10</f>
        <v>169</v>
      </c>
      <c r="G10">
        <f t="shared" ca="1" si="3"/>
        <v>162</v>
      </c>
      <c r="H10">
        <f t="shared" ca="1" si="4"/>
        <v>7</v>
      </c>
      <c r="I10" t="str">
        <f t="shared" ca="1" si="5"/>
        <v>7 units rejected due to transit damage</v>
      </c>
    </row>
    <row r="11" spans="1:9" x14ac:dyDescent="0.3">
      <c r="A11" t="s">
        <v>496</v>
      </c>
      <c r="B11" s="1" t="str">
        <f t="shared" ca="1" si="0"/>
        <v>2026-06-20</v>
      </c>
      <c r="C11" t="str">
        <f t="shared" si="1"/>
        <v>PO-810</v>
      </c>
      <c r="D11" t="str">
        <f t="shared" ca="1" si="2"/>
        <v>T-04</v>
      </c>
      <c r="E11">
        <f ca="1">'Purchase Orders '!C11</f>
        <v>1115</v>
      </c>
      <c r="F11">
        <f ca="1">'Purchase Orders '!D11</f>
        <v>285</v>
      </c>
      <c r="G11">
        <f t="shared" ca="1" si="3"/>
        <v>279</v>
      </c>
      <c r="H11">
        <f t="shared" ca="1" si="4"/>
        <v>6</v>
      </c>
      <c r="I11" t="str">
        <f t="shared" ca="1" si="5"/>
        <v>6 units rejected due to transit damage</v>
      </c>
    </row>
    <row r="12" spans="1:9" x14ac:dyDescent="0.3">
      <c r="A12" t="s">
        <v>497</v>
      </c>
      <c r="B12" s="1" t="str">
        <f t="shared" ca="1" si="0"/>
        <v>2026-06-22</v>
      </c>
      <c r="C12" t="str">
        <f t="shared" si="1"/>
        <v>PO-811</v>
      </c>
      <c r="D12" t="str">
        <f t="shared" ca="1" si="2"/>
        <v>T-03</v>
      </c>
      <c r="E12">
        <f ca="1">'Purchase Orders '!C12</f>
        <v>1059</v>
      </c>
      <c r="F12">
        <f ca="1">'Purchase Orders '!D12</f>
        <v>541</v>
      </c>
      <c r="G12">
        <f t="shared" ca="1" si="3"/>
        <v>519</v>
      </c>
      <c r="H12">
        <f t="shared" ca="1" si="4"/>
        <v>22</v>
      </c>
      <c r="I12" t="str">
        <f t="shared" ca="1" si="5"/>
        <v>22 units rejected due to transit damage</v>
      </c>
    </row>
    <row r="13" spans="1:9" x14ac:dyDescent="0.3">
      <c r="A13" t="s">
        <v>498</v>
      </c>
      <c r="B13" s="1" t="str">
        <f t="shared" ca="1" si="0"/>
        <v>2026-06-25</v>
      </c>
      <c r="C13" t="str">
        <f t="shared" si="1"/>
        <v>PO-812</v>
      </c>
      <c r="D13" t="str">
        <f t="shared" ca="1" si="2"/>
        <v>T-03</v>
      </c>
      <c r="E13">
        <f ca="1">'Purchase Orders '!C13</f>
        <v>1201</v>
      </c>
      <c r="F13">
        <f ca="1">'Purchase Orders '!D13</f>
        <v>613</v>
      </c>
      <c r="G13">
        <f t="shared" ca="1" si="3"/>
        <v>601</v>
      </c>
      <c r="H13">
        <f t="shared" ca="1" si="4"/>
        <v>12</v>
      </c>
      <c r="I13" t="str">
        <f t="shared" ca="1" si="5"/>
        <v>12 units rejected due to transit damage</v>
      </c>
    </row>
    <row r="14" spans="1:9" x14ac:dyDescent="0.3">
      <c r="A14" t="s">
        <v>499</v>
      </c>
      <c r="B14" s="1" t="str">
        <f t="shared" ca="1" si="0"/>
        <v>2026-06-16</v>
      </c>
      <c r="C14" t="str">
        <f t="shared" si="1"/>
        <v>PO-813</v>
      </c>
      <c r="D14" t="str">
        <f t="shared" ca="1" si="2"/>
        <v>T-04</v>
      </c>
      <c r="E14">
        <f ca="1">'Purchase Orders '!C14</f>
        <v>1268</v>
      </c>
      <c r="F14">
        <f ca="1">'Purchase Orders '!D14</f>
        <v>226</v>
      </c>
      <c r="G14">
        <f t="shared" ca="1" si="3"/>
        <v>217</v>
      </c>
      <c r="H14">
        <f t="shared" ca="1" si="4"/>
        <v>9</v>
      </c>
      <c r="I14" t="str">
        <f t="shared" ca="1" si="5"/>
        <v>9 units rejected due to transit damage</v>
      </c>
    </row>
    <row r="15" spans="1:9" x14ac:dyDescent="0.3">
      <c r="A15" t="s">
        <v>500</v>
      </c>
      <c r="B15" s="1" t="str">
        <f t="shared" ca="1" si="0"/>
        <v>2026-06-24</v>
      </c>
      <c r="C15" t="str">
        <f t="shared" si="1"/>
        <v>PO-814</v>
      </c>
      <c r="D15" t="str">
        <f t="shared" ca="1" si="2"/>
        <v>T-05</v>
      </c>
      <c r="E15">
        <f ca="1">'Purchase Orders '!C15</f>
        <v>1078</v>
      </c>
      <c r="F15">
        <f ca="1">'Purchase Orders '!D15</f>
        <v>453</v>
      </c>
      <c r="G15">
        <f t="shared" ca="1" si="3"/>
        <v>435</v>
      </c>
      <c r="H15">
        <f t="shared" ca="1" si="4"/>
        <v>18</v>
      </c>
      <c r="I15" t="str">
        <f t="shared" ca="1" si="5"/>
        <v>18 units rejected due to transit damage</v>
      </c>
    </row>
    <row r="16" spans="1:9" x14ac:dyDescent="0.3">
      <c r="A16" t="s">
        <v>501</v>
      </c>
      <c r="B16" s="1" t="str">
        <f t="shared" ca="1" si="0"/>
        <v>2026-06-21</v>
      </c>
      <c r="C16" t="str">
        <f t="shared" si="1"/>
        <v>PO-815</v>
      </c>
      <c r="D16" t="str">
        <f t="shared" ca="1" si="2"/>
        <v>T-04</v>
      </c>
      <c r="E16">
        <f ca="1">'Purchase Orders '!C16</f>
        <v>1228</v>
      </c>
      <c r="F16">
        <f ca="1">'Purchase Orders '!D16</f>
        <v>852</v>
      </c>
      <c r="G16">
        <f t="shared" ca="1" si="3"/>
        <v>843</v>
      </c>
      <c r="H16">
        <f t="shared" ca="1" si="4"/>
        <v>9</v>
      </c>
      <c r="I16" t="str">
        <f t="shared" ca="1" si="5"/>
        <v>9 units rejected due to transit damage</v>
      </c>
    </row>
    <row r="17" spans="1:9" x14ac:dyDescent="0.3">
      <c r="A17" t="s">
        <v>502</v>
      </c>
      <c r="B17" s="1" t="str">
        <f t="shared" ca="1" si="0"/>
        <v>2026-06-19</v>
      </c>
      <c r="C17" t="str">
        <f t="shared" si="1"/>
        <v>PO-816</v>
      </c>
      <c r="D17" t="str">
        <f t="shared" ca="1" si="2"/>
        <v>T-01</v>
      </c>
      <c r="E17">
        <f ca="1">'Purchase Orders '!C17</f>
        <v>1204</v>
      </c>
      <c r="F17">
        <f ca="1">'Purchase Orders '!D17</f>
        <v>630</v>
      </c>
      <c r="G17">
        <f t="shared" ca="1" si="3"/>
        <v>617</v>
      </c>
      <c r="H17">
        <f t="shared" ca="1" si="4"/>
        <v>13</v>
      </c>
      <c r="I17" t="str">
        <f t="shared" ca="1" si="5"/>
        <v>13 units rejected due to transit damage</v>
      </c>
    </row>
    <row r="18" spans="1:9" x14ac:dyDescent="0.3">
      <c r="A18" t="s">
        <v>503</v>
      </c>
      <c r="B18" s="1" t="str">
        <f t="shared" ca="1" si="0"/>
        <v>2026-06-17</v>
      </c>
      <c r="C18" t="str">
        <f t="shared" si="1"/>
        <v>PO-817</v>
      </c>
      <c r="D18" t="str">
        <f t="shared" ca="1" si="2"/>
        <v>T-01</v>
      </c>
      <c r="E18">
        <f ca="1">'Purchase Orders '!C18</f>
        <v>1050</v>
      </c>
      <c r="F18">
        <f ca="1">'Purchase Orders '!D18</f>
        <v>325</v>
      </c>
      <c r="G18">
        <f t="shared" ca="1" si="3"/>
        <v>309</v>
      </c>
      <c r="H18">
        <f t="shared" ca="1" si="4"/>
        <v>16</v>
      </c>
      <c r="I18" t="str">
        <f t="shared" ca="1" si="5"/>
        <v>16 units rejected due to transit damage</v>
      </c>
    </row>
    <row r="19" spans="1:9" x14ac:dyDescent="0.3">
      <c r="A19" t="s">
        <v>504</v>
      </c>
      <c r="B19" s="1" t="str">
        <f t="shared" ca="1" si="0"/>
        <v>2026-06-24</v>
      </c>
      <c r="C19" t="str">
        <f t="shared" si="1"/>
        <v>PO-818</v>
      </c>
      <c r="D19" t="str">
        <f t="shared" ca="1" si="2"/>
        <v>T-03</v>
      </c>
      <c r="E19">
        <f ca="1">'Purchase Orders '!C19</f>
        <v>1130</v>
      </c>
      <c r="F19">
        <f ca="1">'Purchase Orders '!D19</f>
        <v>871</v>
      </c>
      <c r="G19">
        <f t="shared" ca="1" si="3"/>
        <v>845</v>
      </c>
      <c r="H19">
        <f t="shared" ca="1" si="4"/>
        <v>26</v>
      </c>
      <c r="I19" t="str">
        <f t="shared" ca="1" si="5"/>
        <v>26 units rejected due to transit damage</v>
      </c>
    </row>
    <row r="20" spans="1:9" x14ac:dyDescent="0.3">
      <c r="A20" t="s">
        <v>505</v>
      </c>
      <c r="B20" s="1" t="str">
        <f t="shared" ca="1" si="0"/>
        <v>2026-06-25</v>
      </c>
      <c r="C20" t="str">
        <f t="shared" si="1"/>
        <v>PO-819</v>
      </c>
      <c r="D20" t="str">
        <f t="shared" ca="1" si="2"/>
        <v>T-01</v>
      </c>
      <c r="E20">
        <f ca="1">'Purchase Orders '!C20</f>
        <v>1002</v>
      </c>
      <c r="F20">
        <f ca="1">'Purchase Orders '!D20</f>
        <v>183</v>
      </c>
      <c r="G20">
        <f t="shared" ca="1" si="3"/>
        <v>181</v>
      </c>
      <c r="H20">
        <f t="shared" ca="1" si="4"/>
        <v>2</v>
      </c>
      <c r="I20" t="str">
        <f t="shared" ca="1" si="5"/>
        <v>2 units rejected due to transit damage</v>
      </c>
    </row>
    <row r="21" spans="1:9" x14ac:dyDescent="0.3">
      <c r="A21" t="s">
        <v>506</v>
      </c>
      <c r="B21" s="1" t="str">
        <f t="shared" ca="1" si="0"/>
        <v>2026-06-24</v>
      </c>
      <c r="C21" t="str">
        <f t="shared" si="1"/>
        <v>PO-820</v>
      </c>
      <c r="D21" t="str">
        <f t="shared" ca="1" si="2"/>
        <v>T-05</v>
      </c>
      <c r="E21">
        <f ca="1">'Purchase Orders '!C21</f>
        <v>1230</v>
      </c>
      <c r="F21">
        <f ca="1">'Purchase Orders '!D21</f>
        <v>412</v>
      </c>
      <c r="G21">
        <f t="shared" ca="1" si="3"/>
        <v>412</v>
      </c>
      <c r="H21">
        <f t="shared" ca="1" si="4"/>
        <v>0</v>
      </c>
      <c r="I21" t="str">
        <f t="shared" ca="1" si="5"/>
        <v>All items passed inspection</v>
      </c>
    </row>
    <row r="22" spans="1:9" x14ac:dyDescent="0.3">
      <c r="A22" t="s">
        <v>507</v>
      </c>
      <c r="B22" s="1" t="str">
        <f t="shared" ca="1" si="0"/>
        <v>2026-06-22</v>
      </c>
      <c r="C22" t="str">
        <f t="shared" si="1"/>
        <v>PO-821</v>
      </c>
      <c r="D22" t="str">
        <f t="shared" ca="1" si="2"/>
        <v>T-03</v>
      </c>
      <c r="E22">
        <f ca="1">'Purchase Orders '!C22</f>
        <v>1128</v>
      </c>
      <c r="F22">
        <f ca="1">'Purchase Orders '!D22</f>
        <v>672</v>
      </c>
      <c r="G22">
        <f t="shared" ca="1" si="3"/>
        <v>659</v>
      </c>
      <c r="H22">
        <f t="shared" ca="1" si="4"/>
        <v>13</v>
      </c>
      <c r="I22" t="str">
        <f t="shared" ca="1" si="5"/>
        <v>13 units rejected due to transit damage</v>
      </c>
    </row>
    <row r="23" spans="1:9" x14ac:dyDescent="0.3">
      <c r="A23" t="s">
        <v>508</v>
      </c>
      <c r="B23" s="1" t="str">
        <f t="shared" ca="1" si="0"/>
        <v>2026-06-18</v>
      </c>
      <c r="C23" t="str">
        <f t="shared" si="1"/>
        <v>PO-822</v>
      </c>
      <c r="D23" t="str">
        <f t="shared" ca="1" si="2"/>
        <v>T-03</v>
      </c>
      <c r="E23">
        <f ca="1">'Purchase Orders '!C23</f>
        <v>1075</v>
      </c>
      <c r="F23">
        <f ca="1">'Purchase Orders '!D23</f>
        <v>642</v>
      </c>
      <c r="G23">
        <f t="shared" ca="1" si="3"/>
        <v>616</v>
      </c>
      <c r="H23">
        <f t="shared" ca="1" si="4"/>
        <v>26</v>
      </c>
      <c r="I23" t="str">
        <f t="shared" ca="1" si="5"/>
        <v>26 units rejected due to transit damage</v>
      </c>
    </row>
    <row r="24" spans="1:9" x14ac:dyDescent="0.3">
      <c r="A24" t="s">
        <v>509</v>
      </c>
      <c r="B24" s="1" t="str">
        <f t="shared" ca="1" si="0"/>
        <v>2026-06-21</v>
      </c>
      <c r="C24" t="str">
        <f t="shared" si="1"/>
        <v>PO-823</v>
      </c>
      <c r="D24" t="str">
        <f t="shared" ca="1" si="2"/>
        <v>T-05</v>
      </c>
      <c r="E24">
        <f ca="1">'Purchase Orders '!C24</f>
        <v>1102</v>
      </c>
      <c r="F24">
        <f ca="1">'Purchase Orders '!D24</f>
        <v>167</v>
      </c>
      <c r="G24">
        <f t="shared" ca="1" si="3"/>
        <v>162</v>
      </c>
      <c r="H24">
        <f t="shared" ca="1" si="4"/>
        <v>5</v>
      </c>
      <c r="I24" t="str">
        <f t="shared" ca="1" si="5"/>
        <v>5 units rejected due to transit damage</v>
      </c>
    </row>
    <row r="25" spans="1:9" x14ac:dyDescent="0.3">
      <c r="A25" t="s">
        <v>510</v>
      </c>
      <c r="B25" s="1" t="str">
        <f t="shared" ca="1" si="0"/>
        <v>2026-06-22</v>
      </c>
      <c r="C25" t="str">
        <f t="shared" si="1"/>
        <v>PO-824</v>
      </c>
      <c r="D25" t="str">
        <f t="shared" ca="1" si="2"/>
        <v>T-02</v>
      </c>
      <c r="E25">
        <f ca="1">'Purchase Orders '!C25</f>
        <v>1191</v>
      </c>
      <c r="F25">
        <f ca="1">'Purchase Orders '!D25</f>
        <v>745</v>
      </c>
      <c r="G25">
        <f t="shared" ca="1" si="3"/>
        <v>723</v>
      </c>
      <c r="H25">
        <f t="shared" ca="1" si="4"/>
        <v>22</v>
      </c>
      <c r="I25" t="str">
        <f t="shared" ca="1" si="5"/>
        <v>22 units rejected due to transit damage</v>
      </c>
    </row>
    <row r="26" spans="1:9" x14ac:dyDescent="0.3">
      <c r="A26" t="s">
        <v>511</v>
      </c>
      <c r="B26" s="1" t="str">
        <f t="shared" ca="1" si="0"/>
        <v>2026-06-25</v>
      </c>
      <c r="C26" t="str">
        <f t="shared" si="1"/>
        <v>PO-825</v>
      </c>
      <c r="D26" t="str">
        <f t="shared" ca="1" si="2"/>
        <v>T-04</v>
      </c>
      <c r="E26">
        <f ca="1">'Purchase Orders '!C26</f>
        <v>1176</v>
      </c>
      <c r="F26">
        <f ca="1">'Purchase Orders '!D26</f>
        <v>372</v>
      </c>
      <c r="G26">
        <f t="shared" ca="1" si="3"/>
        <v>372</v>
      </c>
      <c r="H26">
        <f t="shared" ca="1" si="4"/>
        <v>0</v>
      </c>
      <c r="I26" t="str">
        <f t="shared" ca="1" si="5"/>
        <v>All items passed inspection</v>
      </c>
    </row>
    <row r="27" spans="1:9" x14ac:dyDescent="0.3">
      <c r="A27" t="s">
        <v>512</v>
      </c>
      <c r="B27" s="1" t="str">
        <f t="shared" ca="1" si="0"/>
        <v>2026-06-23</v>
      </c>
      <c r="C27" t="str">
        <f t="shared" si="1"/>
        <v>PO-826</v>
      </c>
      <c r="D27" t="str">
        <f t="shared" ca="1" si="2"/>
        <v>T-05</v>
      </c>
      <c r="E27">
        <f ca="1">'Purchase Orders '!C27</f>
        <v>1123</v>
      </c>
      <c r="F27">
        <f ca="1">'Purchase Orders '!D27</f>
        <v>172</v>
      </c>
      <c r="G27">
        <f t="shared" ca="1" si="3"/>
        <v>169</v>
      </c>
      <c r="H27">
        <f t="shared" ca="1" si="4"/>
        <v>3</v>
      </c>
      <c r="I27" t="str">
        <f t="shared" ca="1" si="5"/>
        <v>3 units rejected due to transit damage</v>
      </c>
    </row>
    <row r="28" spans="1:9" x14ac:dyDescent="0.3">
      <c r="A28" t="s">
        <v>513</v>
      </c>
      <c r="B28" s="1" t="str">
        <f t="shared" ca="1" si="0"/>
        <v>2026-06-20</v>
      </c>
      <c r="C28" t="str">
        <f t="shared" si="1"/>
        <v>PO-827</v>
      </c>
      <c r="D28" t="str">
        <f t="shared" ca="1" si="2"/>
        <v>T-01</v>
      </c>
      <c r="E28">
        <f ca="1">'Purchase Orders '!C28</f>
        <v>1155</v>
      </c>
      <c r="F28">
        <f ca="1">'Purchase Orders '!D28</f>
        <v>144</v>
      </c>
      <c r="G28">
        <f t="shared" ca="1" si="3"/>
        <v>140</v>
      </c>
      <c r="H28">
        <f t="shared" ca="1" si="4"/>
        <v>4</v>
      </c>
      <c r="I28" t="str">
        <f t="shared" ca="1" si="5"/>
        <v>4 units rejected due to transit damage</v>
      </c>
    </row>
    <row r="29" spans="1:9" x14ac:dyDescent="0.3">
      <c r="A29" t="s">
        <v>514</v>
      </c>
      <c r="B29" s="1" t="str">
        <f t="shared" ca="1" si="0"/>
        <v>2026-06-24</v>
      </c>
      <c r="C29" t="str">
        <f t="shared" si="1"/>
        <v>PO-828</v>
      </c>
      <c r="D29" t="str">
        <f t="shared" ca="1" si="2"/>
        <v>T-02</v>
      </c>
      <c r="E29">
        <f ca="1">'Purchase Orders '!C29</f>
        <v>1265</v>
      </c>
      <c r="F29">
        <f ca="1">'Purchase Orders '!D29</f>
        <v>390</v>
      </c>
      <c r="G29">
        <f t="shared" ca="1" si="3"/>
        <v>378</v>
      </c>
      <c r="H29">
        <f t="shared" ca="1" si="4"/>
        <v>12</v>
      </c>
      <c r="I29" t="str">
        <f t="shared" ca="1" si="5"/>
        <v>12 units rejected due to transit damage</v>
      </c>
    </row>
    <row r="30" spans="1:9" x14ac:dyDescent="0.3">
      <c r="A30" t="s">
        <v>515</v>
      </c>
      <c r="B30" s="1" t="str">
        <f t="shared" ca="1" si="0"/>
        <v>2026-06-21</v>
      </c>
      <c r="C30" t="str">
        <f t="shared" si="1"/>
        <v>PO-829</v>
      </c>
      <c r="D30" t="str">
        <f t="shared" ca="1" si="2"/>
        <v>T-05</v>
      </c>
      <c r="E30">
        <f ca="1">'Purchase Orders '!C30</f>
        <v>1014</v>
      </c>
      <c r="F30">
        <f ca="1">'Purchase Orders '!D30</f>
        <v>294</v>
      </c>
      <c r="G30">
        <f t="shared" ca="1" si="3"/>
        <v>282</v>
      </c>
      <c r="H30">
        <f t="shared" ca="1" si="4"/>
        <v>12</v>
      </c>
      <c r="I30" t="str">
        <f t="shared" ca="1" si="5"/>
        <v>12 units rejected due to transit damage</v>
      </c>
    </row>
    <row r="31" spans="1:9" x14ac:dyDescent="0.3">
      <c r="A31" t="s">
        <v>516</v>
      </c>
      <c r="B31" s="1" t="str">
        <f t="shared" ca="1" si="0"/>
        <v>2026-06-16</v>
      </c>
      <c r="C31" t="str">
        <f t="shared" si="1"/>
        <v>PO-830</v>
      </c>
      <c r="D31" t="str">
        <f t="shared" ca="1" si="2"/>
        <v>T-02</v>
      </c>
      <c r="E31">
        <f ca="1">'Purchase Orders '!C31</f>
        <v>1231</v>
      </c>
      <c r="F31">
        <f ca="1">'Purchase Orders '!D31</f>
        <v>764</v>
      </c>
      <c r="G31">
        <f t="shared" ca="1" si="3"/>
        <v>726</v>
      </c>
      <c r="H31">
        <f t="shared" ca="1" si="4"/>
        <v>38</v>
      </c>
      <c r="I31" t="str">
        <f t="shared" ca="1" si="5"/>
        <v>38 units rejected due to transit damage</v>
      </c>
    </row>
    <row r="32" spans="1:9" x14ac:dyDescent="0.3">
      <c r="A32" t="s">
        <v>517</v>
      </c>
      <c r="B32" s="1" t="str">
        <f t="shared" ca="1" si="0"/>
        <v>2026-06-24</v>
      </c>
      <c r="C32" t="str">
        <f t="shared" si="1"/>
        <v>PO-831</v>
      </c>
      <c r="D32" t="str">
        <f t="shared" ca="1" si="2"/>
        <v>T-03</v>
      </c>
      <c r="E32">
        <f ca="1">'Purchase Orders '!C32</f>
        <v>1253</v>
      </c>
      <c r="F32">
        <f ca="1">'Purchase Orders '!D32</f>
        <v>451</v>
      </c>
      <c r="G32">
        <f t="shared" ca="1" si="3"/>
        <v>428</v>
      </c>
      <c r="H32">
        <f t="shared" ca="1" si="4"/>
        <v>23</v>
      </c>
      <c r="I32" t="str">
        <f t="shared" ca="1" si="5"/>
        <v>23 units rejected due to transit damage</v>
      </c>
    </row>
    <row r="33" spans="1:9" x14ac:dyDescent="0.3">
      <c r="A33" t="s">
        <v>518</v>
      </c>
      <c r="B33" s="1" t="str">
        <f t="shared" ca="1" si="0"/>
        <v>2026-06-18</v>
      </c>
      <c r="C33" t="str">
        <f t="shared" si="1"/>
        <v>PO-832</v>
      </c>
      <c r="D33" t="str">
        <f t="shared" ca="1" si="2"/>
        <v>T-05</v>
      </c>
      <c r="E33">
        <f ca="1">'Purchase Orders '!C33</f>
        <v>1272</v>
      </c>
      <c r="F33">
        <f ca="1">'Purchase Orders '!D33</f>
        <v>953</v>
      </c>
      <c r="G33">
        <f t="shared" ca="1" si="3"/>
        <v>915</v>
      </c>
      <c r="H33">
        <f t="shared" ca="1" si="4"/>
        <v>38</v>
      </c>
      <c r="I33" t="str">
        <f t="shared" ca="1" si="5"/>
        <v>38 units rejected due to transit damage</v>
      </c>
    </row>
    <row r="34" spans="1:9" x14ac:dyDescent="0.3">
      <c r="A34" t="s">
        <v>519</v>
      </c>
      <c r="B34" s="1" t="str">
        <f t="shared" ca="1" si="0"/>
        <v>2026-06-25</v>
      </c>
      <c r="C34" t="str">
        <f t="shared" si="1"/>
        <v>PO-833</v>
      </c>
      <c r="D34" t="str">
        <f t="shared" ca="1" si="2"/>
        <v>T-04</v>
      </c>
      <c r="E34">
        <f ca="1">'Purchase Orders '!C34</f>
        <v>1149</v>
      </c>
      <c r="F34">
        <f ca="1">'Purchase Orders '!D34</f>
        <v>700</v>
      </c>
      <c r="G34">
        <f t="shared" ca="1" si="3"/>
        <v>679</v>
      </c>
      <c r="H34">
        <f t="shared" ca="1" si="4"/>
        <v>21</v>
      </c>
      <c r="I34" t="str">
        <f t="shared" ca="1" si="5"/>
        <v>21 units rejected due to transit damage</v>
      </c>
    </row>
    <row r="35" spans="1:9" x14ac:dyDescent="0.3">
      <c r="A35" t="s">
        <v>520</v>
      </c>
      <c r="B35" s="1" t="str">
        <f t="shared" ca="1" si="0"/>
        <v>2026-06-17</v>
      </c>
      <c r="C35" t="str">
        <f t="shared" si="1"/>
        <v>PO-834</v>
      </c>
      <c r="D35" t="str">
        <f t="shared" ca="1" si="2"/>
        <v>T-03</v>
      </c>
      <c r="E35">
        <f ca="1">'Purchase Orders '!C35</f>
        <v>1063</v>
      </c>
      <c r="F35">
        <f ca="1">'Purchase Orders '!D35</f>
        <v>464</v>
      </c>
      <c r="G35">
        <f t="shared" ca="1" si="3"/>
        <v>459</v>
      </c>
      <c r="H35">
        <f t="shared" ca="1" si="4"/>
        <v>5</v>
      </c>
      <c r="I35" t="str">
        <f t="shared" ca="1" si="5"/>
        <v>5 units rejected due to transit damage</v>
      </c>
    </row>
    <row r="36" spans="1:9" x14ac:dyDescent="0.3">
      <c r="A36" t="s">
        <v>521</v>
      </c>
      <c r="B36" s="1" t="str">
        <f t="shared" ca="1" si="0"/>
        <v>2026-06-22</v>
      </c>
      <c r="C36" t="str">
        <f t="shared" si="1"/>
        <v>PO-835</v>
      </c>
      <c r="D36" t="str">
        <f t="shared" ca="1" si="2"/>
        <v>T-02</v>
      </c>
      <c r="E36">
        <f ca="1">'Purchase Orders '!C36</f>
        <v>1267</v>
      </c>
      <c r="F36">
        <f ca="1">'Purchase Orders '!D36</f>
        <v>202</v>
      </c>
      <c r="G36">
        <f t="shared" ca="1" si="3"/>
        <v>192</v>
      </c>
      <c r="H36">
        <f t="shared" ca="1" si="4"/>
        <v>10</v>
      </c>
      <c r="I36" t="str">
        <f t="shared" ca="1" si="5"/>
        <v>10 units rejected due to transit damage</v>
      </c>
    </row>
    <row r="37" spans="1:9" x14ac:dyDescent="0.3">
      <c r="A37" t="s">
        <v>522</v>
      </c>
      <c r="B37" s="1" t="str">
        <f t="shared" ca="1" si="0"/>
        <v>2026-06-22</v>
      </c>
      <c r="C37" t="str">
        <f t="shared" si="1"/>
        <v>PO-836</v>
      </c>
      <c r="D37" t="str">
        <f t="shared" ca="1" si="2"/>
        <v>T-02</v>
      </c>
      <c r="E37">
        <f ca="1">'Purchase Orders '!C37</f>
        <v>1020</v>
      </c>
      <c r="F37">
        <f ca="1">'Purchase Orders '!D37</f>
        <v>138</v>
      </c>
      <c r="G37">
        <f t="shared" ca="1" si="3"/>
        <v>131</v>
      </c>
      <c r="H37">
        <f t="shared" ca="1" si="4"/>
        <v>7</v>
      </c>
      <c r="I37" t="str">
        <f t="shared" ca="1" si="5"/>
        <v>7 units rejected due to transit damage</v>
      </c>
    </row>
    <row r="38" spans="1:9" x14ac:dyDescent="0.3">
      <c r="A38" t="s">
        <v>523</v>
      </c>
      <c r="B38" s="1" t="str">
        <f t="shared" ca="1" si="0"/>
        <v>2026-06-18</v>
      </c>
      <c r="C38" t="str">
        <f t="shared" si="1"/>
        <v>PO-837</v>
      </c>
      <c r="D38" t="str">
        <f t="shared" ca="1" si="2"/>
        <v>T-03</v>
      </c>
      <c r="E38">
        <f ca="1">'Purchase Orders '!C38</f>
        <v>1183</v>
      </c>
      <c r="F38">
        <f ca="1">'Purchase Orders '!D38</f>
        <v>576</v>
      </c>
      <c r="G38">
        <f t="shared" ca="1" si="3"/>
        <v>576</v>
      </c>
      <c r="H38">
        <f t="shared" ca="1" si="4"/>
        <v>0</v>
      </c>
      <c r="I38" t="str">
        <f t="shared" ca="1" si="5"/>
        <v>All items passed inspection</v>
      </c>
    </row>
    <row r="39" spans="1:9" x14ac:dyDescent="0.3">
      <c r="A39" t="s">
        <v>524</v>
      </c>
      <c r="B39" s="1" t="str">
        <f t="shared" ca="1" si="0"/>
        <v>2026-06-23</v>
      </c>
      <c r="C39" t="str">
        <f t="shared" si="1"/>
        <v>PO-838</v>
      </c>
      <c r="D39" t="str">
        <f t="shared" ca="1" si="2"/>
        <v>T-01</v>
      </c>
      <c r="E39">
        <f ca="1">'Purchase Orders '!C39</f>
        <v>1251</v>
      </c>
      <c r="F39">
        <f ca="1">'Purchase Orders '!D39</f>
        <v>463</v>
      </c>
      <c r="G39">
        <f t="shared" ca="1" si="3"/>
        <v>444</v>
      </c>
      <c r="H39">
        <f t="shared" ca="1" si="4"/>
        <v>19</v>
      </c>
      <c r="I39" t="str">
        <f t="shared" ca="1" si="5"/>
        <v>19 units rejected due to transit damage</v>
      </c>
    </row>
    <row r="40" spans="1:9" x14ac:dyDescent="0.3">
      <c r="A40" t="s">
        <v>525</v>
      </c>
      <c r="B40" s="1" t="str">
        <f t="shared" ca="1" si="0"/>
        <v>2026-06-17</v>
      </c>
      <c r="C40" t="str">
        <f t="shared" si="1"/>
        <v>PO-839</v>
      </c>
      <c r="D40" t="str">
        <f t="shared" ca="1" si="2"/>
        <v>T-04</v>
      </c>
      <c r="E40">
        <f ca="1">'Purchase Orders '!C40</f>
        <v>1244</v>
      </c>
      <c r="F40">
        <f ca="1">'Purchase Orders '!D40</f>
        <v>345</v>
      </c>
      <c r="G40">
        <f t="shared" ca="1" si="3"/>
        <v>338</v>
      </c>
      <c r="H40">
        <f t="shared" ca="1" si="4"/>
        <v>7</v>
      </c>
      <c r="I40" t="str">
        <f t="shared" ca="1" si="5"/>
        <v>7 units rejected due to transit damage</v>
      </c>
    </row>
    <row r="41" spans="1:9" x14ac:dyDescent="0.3">
      <c r="A41" t="s">
        <v>526</v>
      </c>
      <c r="B41" s="1" t="str">
        <f t="shared" ca="1" si="0"/>
        <v>2026-06-19</v>
      </c>
      <c r="C41" t="str">
        <f t="shared" si="1"/>
        <v>PO-840</v>
      </c>
      <c r="D41" t="str">
        <f t="shared" ca="1" si="2"/>
        <v>T-04</v>
      </c>
      <c r="E41">
        <f ca="1">'Purchase Orders '!C41</f>
        <v>1060</v>
      </c>
      <c r="F41">
        <f ca="1">'Purchase Orders '!D41</f>
        <v>870</v>
      </c>
      <c r="G41">
        <f t="shared" ca="1" si="3"/>
        <v>861</v>
      </c>
      <c r="H41">
        <f t="shared" ca="1" si="4"/>
        <v>9</v>
      </c>
      <c r="I41" t="str">
        <f t="shared" ca="1" si="5"/>
        <v>9 units rejected due to transit damage</v>
      </c>
    </row>
    <row r="42" spans="1:9" x14ac:dyDescent="0.3">
      <c r="A42" t="s">
        <v>527</v>
      </c>
      <c r="B42" s="1" t="str">
        <f t="shared" ca="1" si="0"/>
        <v>2026-06-24</v>
      </c>
      <c r="C42" t="str">
        <f t="shared" si="1"/>
        <v>PO-841</v>
      </c>
      <c r="D42" t="str">
        <f t="shared" ca="1" si="2"/>
        <v>T-01</v>
      </c>
      <c r="E42">
        <f ca="1">'Purchase Orders '!C42</f>
        <v>1258</v>
      </c>
      <c r="F42">
        <f ca="1">'Purchase Orders '!D42</f>
        <v>392</v>
      </c>
      <c r="G42">
        <f t="shared" ca="1" si="3"/>
        <v>380</v>
      </c>
      <c r="H42">
        <f t="shared" ca="1" si="4"/>
        <v>12</v>
      </c>
      <c r="I42" t="str">
        <f t="shared" ca="1" si="5"/>
        <v>12 units rejected due to transit damage</v>
      </c>
    </row>
    <row r="43" spans="1:9" x14ac:dyDescent="0.3">
      <c r="A43" t="s">
        <v>528</v>
      </c>
      <c r="B43" s="1" t="str">
        <f t="shared" ca="1" si="0"/>
        <v>2026-06-25</v>
      </c>
      <c r="C43" t="str">
        <f t="shared" si="1"/>
        <v>PO-842</v>
      </c>
      <c r="D43" t="str">
        <f t="shared" ca="1" si="2"/>
        <v>T-01</v>
      </c>
      <c r="E43">
        <f ca="1">'Purchase Orders '!C43</f>
        <v>1212</v>
      </c>
      <c r="F43">
        <f ca="1">'Purchase Orders '!D43</f>
        <v>257</v>
      </c>
      <c r="G43">
        <f t="shared" ca="1" si="3"/>
        <v>247</v>
      </c>
      <c r="H43">
        <f t="shared" ca="1" si="4"/>
        <v>10</v>
      </c>
      <c r="I43" t="str">
        <f t="shared" ca="1" si="5"/>
        <v>10 units rejected due to transit damage</v>
      </c>
    </row>
    <row r="44" spans="1:9" x14ac:dyDescent="0.3">
      <c r="A44" t="s">
        <v>529</v>
      </c>
      <c r="B44" s="1" t="str">
        <f t="shared" ca="1" si="0"/>
        <v>2026-06-20</v>
      </c>
      <c r="C44" t="str">
        <f t="shared" si="1"/>
        <v>PO-843</v>
      </c>
      <c r="D44" t="str">
        <f t="shared" ca="1" si="2"/>
        <v>T-01</v>
      </c>
      <c r="E44">
        <f ca="1">'Purchase Orders '!C44</f>
        <v>1114</v>
      </c>
      <c r="F44">
        <f ca="1">'Purchase Orders '!D44</f>
        <v>576</v>
      </c>
      <c r="G44">
        <f t="shared" ca="1" si="3"/>
        <v>559</v>
      </c>
      <c r="H44">
        <f t="shared" ca="1" si="4"/>
        <v>17</v>
      </c>
      <c r="I44" t="str">
        <f t="shared" ca="1" si="5"/>
        <v>17 units rejected due to transit damage</v>
      </c>
    </row>
    <row r="45" spans="1:9" x14ac:dyDescent="0.3">
      <c r="A45" t="s">
        <v>530</v>
      </c>
      <c r="B45" s="1" t="str">
        <f t="shared" ca="1" si="0"/>
        <v>2026-06-24</v>
      </c>
      <c r="C45" t="str">
        <f t="shared" si="1"/>
        <v>PO-844</v>
      </c>
      <c r="D45" t="str">
        <f t="shared" ca="1" si="2"/>
        <v>T-04</v>
      </c>
      <c r="E45">
        <f ca="1">'Purchase Orders '!C45</f>
        <v>1014</v>
      </c>
      <c r="F45">
        <f ca="1">'Purchase Orders '!D45</f>
        <v>269</v>
      </c>
      <c r="G45">
        <f t="shared" ca="1" si="3"/>
        <v>266</v>
      </c>
      <c r="H45">
        <f t="shared" ca="1" si="4"/>
        <v>3</v>
      </c>
      <c r="I45" t="str">
        <f t="shared" ca="1" si="5"/>
        <v>3 units rejected due to transit damage</v>
      </c>
    </row>
    <row r="46" spans="1:9" x14ac:dyDescent="0.3">
      <c r="A46" t="s">
        <v>531</v>
      </c>
      <c r="B46" s="1" t="str">
        <f t="shared" ca="1" si="0"/>
        <v>2026-06-24</v>
      </c>
      <c r="C46" t="str">
        <f t="shared" si="1"/>
        <v>PO-845</v>
      </c>
      <c r="D46" t="str">
        <f t="shared" ca="1" si="2"/>
        <v>T-04</v>
      </c>
      <c r="E46">
        <f ca="1">'Purchase Orders '!C46</f>
        <v>1019</v>
      </c>
      <c r="F46">
        <f ca="1">'Purchase Orders '!D46</f>
        <v>414</v>
      </c>
      <c r="G46">
        <f t="shared" ca="1" si="3"/>
        <v>410</v>
      </c>
      <c r="H46">
        <f t="shared" ca="1" si="4"/>
        <v>4</v>
      </c>
      <c r="I46" t="str">
        <f t="shared" ca="1" si="5"/>
        <v>4 units rejected due to transit damage</v>
      </c>
    </row>
    <row r="47" spans="1:9" x14ac:dyDescent="0.3">
      <c r="A47" t="s">
        <v>532</v>
      </c>
      <c r="B47" s="1" t="str">
        <f t="shared" ca="1" si="0"/>
        <v>2026-06-24</v>
      </c>
      <c r="C47" t="str">
        <f t="shared" si="1"/>
        <v>PO-846</v>
      </c>
      <c r="D47" t="str">
        <f t="shared" ca="1" si="2"/>
        <v>T-03</v>
      </c>
      <c r="E47">
        <f ca="1">'Purchase Orders '!C47</f>
        <v>1258</v>
      </c>
      <c r="F47">
        <f ca="1">'Purchase Orders '!D47</f>
        <v>827</v>
      </c>
      <c r="G47">
        <f t="shared" ca="1" si="3"/>
        <v>827</v>
      </c>
      <c r="H47">
        <f t="shared" ca="1" si="4"/>
        <v>0</v>
      </c>
      <c r="I47" t="str">
        <f t="shared" ca="1" si="5"/>
        <v>All items passed inspection</v>
      </c>
    </row>
    <row r="48" spans="1:9" x14ac:dyDescent="0.3">
      <c r="A48" t="s">
        <v>533</v>
      </c>
      <c r="B48" s="1" t="str">
        <f t="shared" ca="1" si="0"/>
        <v>2026-06-17</v>
      </c>
      <c r="C48" t="str">
        <f t="shared" si="1"/>
        <v>PO-847</v>
      </c>
      <c r="D48" t="str">
        <f t="shared" ca="1" si="2"/>
        <v>T-05</v>
      </c>
      <c r="E48">
        <f ca="1">'Purchase Orders '!C48</f>
        <v>1175</v>
      </c>
      <c r="F48">
        <f ca="1">'Purchase Orders '!D48</f>
        <v>936</v>
      </c>
      <c r="G48">
        <f t="shared" ca="1" si="3"/>
        <v>936</v>
      </c>
      <c r="H48">
        <f t="shared" ca="1" si="4"/>
        <v>0</v>
      </c>
      <c r="I48" t="str">
        <f t="shared" ca="1" si="5"/>
        <v>All items passed inspection</v>
      </c>
    </row>
    <row r="49" spans="1:9" x14ac:dyDescent="0.3">
      <c r="A49" t="s">
        <v>534</v>
      </c>
      <c r="B49" s="1" t="str">
        <f t="shared" ca="1" si="0"/>
        <v>2026-06-18</v>
      </c>
      <c r="C49" t="str">
        <f t="shared" si="1"/>
        <v>PO-848</v>
      </c>
      <c r="D49" t="str">
        <f t="shared" ca="1" si="2"/>
        <v>T-04</v>
      </c>
      <c r="E49">
        <f ca="1">'Purchase Orders '!C49</f>
        <v>1027</v>
      </c>
      <c r="F49">
        <f ca="1">'Purchase Orders '!D49</f>
        <v>952</v>
      </c>
      <c r="G49">
        <f t="shared" ca="1" si="3"/>
        <v>923</v>
      </c>
      <c r="H49">
        <f t="shared" ca="1" si="4"/>
        <v>29</v>
      </c>
      <c r="I49" t="str">
        <f t="shared" ca="1" si="5"/>
        <v>29 units rejected due to transit damage</v>
      </c>
    </row>
    <row r="50" spans="1:9" x14ac:dyDescent="0.3">
      <c r="A50" t="s">
        <v>535</v>
      </c>
      <c r="B50" s="1" t="str">
        <f t="shared" ca="1" si="0"/>
        <v>2026-06-24</v>
      </c>
      <c r="C50" t="str">
        <f t="shared" si="1"/>
        <v>PO-849</v>
      </c>
      <c r="D50" t="str">
        <f t="shared" ca="1" si="2"/>
        <v>T-02</v>
      </c>
      <c r="E50">
        <f ca="1">'Purchase Orders '!C50</f>
        <v>1007</v>
      </c>
      <c r="F50">
        <f ca="1">'Purchase Orders '!D50</f>
        <v>309</v>
      </c>
      <c r="G50">
        <f t="shared" ca="1" si="3"/>
        <v>297</v>
      </c>
      <c r="H50">
        <f t="shared" ca="1" si="4"/>
        <v>12</v>
      </c>
      <c r="I50" t="str">
        <f t="shared" ca="1" si="5"/>
        <v>12 units rejected due to transit damage</v>
      </c>
    </row>
    <row r="51" spans="1:9" x14ac:dyDescent="0.3">
      <c r="A51" t="s">
        <v>536</v>
      </c>
      <c r="B51" s="1" t="str">
        <f t="shared" ca="1" si="0"/>
        <v>2026-06-24</v>
      </c>
      <c r="C51" t="str">
        <f t="shared" si="1"/>
        <v>PO-850</v>
      </c>
      <c r="D51" t="str">
        <f t="shared" ca="1" si="2"/>
        <v>T-03</v>
      </c>
      <c r="E51">
        <f ca="1">'Purchase Orders '!C51</f>
        <v>1208</v>
      </c>
      <c r="F51">
        <f ca="1">'Purchase Orders '!D51</f>
        <v>982</v>
      </c>
      <c r="G51">
        <f t="shared" ca="1" si="3"/>
        <v>962</v>
      </c>
      <c r="H51">
        <f t="shared" ca="1" si="4"/>
        <v>20</v>
      </c>
      <c r="I51" t="str">
        <f t="shared" ca="1" si="5"/>
        <v>20 units rejected due to transit damage</v>
      </c>
    </row>
    <row r="52" spans="1:9" x14ac:dyDescent="0.3">
      <c r="A52" t="s">
        <v>537</v>
      </c>
      <c r="B52" s="1" t="str">
        <f t="shared" ca="1" si="0"/>
        <v>2026-06-16</v>
      </c>
      <c r="C52" t="str">
        <f t="shared" si="1"/>
        <v>PO-851</v>
      </c>
      <c r="D52" t="str">
        <f t="shared" ca="1" si="2"/>
        <v>T-01</v>
      </c>
      <c r="E52">
        <f ca="1">'Purchase Orders '!C52</f>
        <v>1238</v>
      </c>
      <c r="F52">
        <f ca="1">'Purchase Orders '!D52</f>
        <v>602</v>
      </c>
      <c r="G52">
        <f t="shared" ca="1" si="3"/>
        <v>590</v>
      </c>
      <c r="H52">
        <f t="shared" ca="1" si="4"/>
        <v>12</v>
      </c>
      <c r="I52" t="str">
        <f t="shared" ca="1" si="5"/>
        <v>12 units rejected due to transit damage</v>
      </c>
    </row>
    <row r="53" spans="1:9" x14ac:dyDescent="0.3">
      <c r="A53" t="s">
        <v>538</v>
      </c>
      <c r="B53" s="1" t="str">
        <f t="shared" ca="1" si="0"/>
        <v>2026-06-22</v>
      </c>
      <c r="C53" t="str">
        <f t="shared" si="1"/>
        <v>PO-852</v>
      </c>
      <c r="D53" t="str">
        <f t="shared" ca="1" si="2"/>
        <v>T-02</v>
      </c>
      <c r="E53">
        <f ca="1">'Purchase Orders '!C53</f>
        <v>1131</v>
      </c>
      <c r="F53">
        <f ca="1">'Purchase Orders '!D53</f>
        <v>526</v>
      </c>
      <c r="G53">
        <f t="shared" ca="1" si="3"/>
        <v>526</v>
      </c>
      <c r="H53">
        <f t="shared" ca="1" si="4"/>
        <v>0</v>
      </c>
      <c r="I53" t="str">
        <f t="shared" ca="1" si="5"/>
        <v>All items passed inspection</v>
      </c>
    </row>
    <row r="54" spans="1:9" x14ac:dyDescent="0.3">
      <c r="A54" t="s">
        <v>539</v>
      </c>
      <c r="B54" s="1" t="str">
        <f t="shared" ca="1" si="0"/>
        <v>2026-06-23</v>
      </c>
      <c r="C54" t="str">
        <f t="shared" si="1"/>
        <v>PO-853</v>
      </c>
      <c r="D54" t="str">
        <f t="shared" ca="1" si="2"/>
        <v>T-02</v>
      </c>
      <c r="E54">
        <f ca="1">'Purchase Orders '!C54</f>
        <v>1257</v>
      </c>
      <c r="F54">
        <f ca="1">'Purchase Orders '!D54</f>
        <v>258</v>
      </c>
      <c r="G54">
        <f t="shared" ca="1" si="3"/>
        <v>253</v>
      </c>
      <c r="H54">
        <f t="shared" ca="1" si="4"/>
        <v>5</v>
      </c>
      <c r="I54" t="str">
        <f t="shared" ca="1" si="5"/>
        <v>5 units rejected due to transit damage</v>
      </c>
    </row>
    <row r="55" spans="1:9" x14ac:dyDescent="0.3">
      <c r="A55" t="s">
        <v>540</v>
      </c>
      <c r="B55" s="1" t="str">
        <f t="shared" ca="1" si="0"/>
        <v>2026-06-22</v>
      </c>
      <c r="C55" t="str">
        <f t="shared" si="1"/>
        <v>PO-854</v>
      </c>
      <c r="D55" t="str">
        <f t="shared" ca="1" si="2"/>
        <v>T-04</v>
      </c>
      <c r="E55">
        <f ca="1">'Purchase Orders '!C55</f>
        <v>1065</v>
      </c>
      <c r="F55">
        <f ca="1">'Purchase Orders '!D55</f>
        <v>204</v>
      </c>
      <c r="G55">
        <f t="shared" ca="1" si="3"/>
        <v>200</v>
      </c>
      <c r="H55">
        <f t="shared" ca="1" si="4"/>
        <v>4</v>
      </c>
      <c r="I55" t="str">
        <f t="shared" ca="1" si="5"/>
        <v>4 units rejected due to transit damage</v>
      </c>
    </row>
    <row r="56" spans="1:9" x14ac:dyDescent="0.3">
      <c r="A56" t="s">
        <v>541</v>
      </c>
      <c r="B56" s="1" t="str">
        <f t="shared" ca="1" si="0"/>
        <v>2026-06-17</v>
      </c>
      <c r="C56" t="str">
        <f t="shared" si="1"/>
        <v>PO-855</v>
      </c>
      <c r="D56" t="str">
        <f t="shared" ca="1" si="2"/>
        <v>T-04</v>
      </c>
      <c r="E56">
        <f ca="1">'Purchase Orders '!C56</f>
        <v>1044</v>
      </c>
      <c r="F56">
        <f ca="1">'Purchase Orders '!D56</f>
        <v>617</v>
      </c>
      <c r="G56">
        <f t="shared" ca="1" si="3"/>
        <v>617</v>
      </c>
      <c r="H56">
        <f t="shared" ca="1" si="4"/>
        <v>0</v>
      </c>
      <c r="I56" t="str">
        <f t="shared" ca="1" si="5"/>
        <v>All items passed inspection</v>
      </c>
    </row>
    <row r="57" spans="1:9" x14ac:dyDescent="0.3">
      <c r="A57" t="s">
        <v>542</v>
      </c>
      <c r="B57" s="1" t="str">
        <f t="shared" ca="1" si="0"/>
        <v>2026-06-23</v>
      </c>
      <c r="C57" t="str">
        <f t="shared" si="1"/>
        <v>PO-856</v>
      </c>
      <c r="D57" t="str">
        <f t="shared" ca="1" si="2"/>
        <v>T-02</v>
      </c>
      <c r="E57">
        <f ca="1">'Purchase Orders '!C57</f>
        <v>1011</v>
      </c>
      <c r="F57">
        <f ca="1">'Purchase Orders '!D57</f>
        <v>504</v>
      </c>
      <c r="G57">
        <f t="shared" ca="1" si="3"/>
        <v>489</v>
      </c>
      <c r="H57">
        <f t="shared" ca="1" si="4"/>
        <v>15</v>
      </c>
      <c r="I57" t="str">
        <f t="shared" ca="1" si="5"/>
        <v>15 units rejected due to transit damage</v>
      </c>
    </row>
    <row r="58" spans="1:9" x14ac:dyDescent="0.3">
      <c r="A58" t="s">
        <v>543</v>
      </c>
      <c r="B58" s="1" t="str">
        <f t="shared" ca="1" si="0"/>
        <v>2026-06-23</v>
      </c>
      <c r="C58" t="str">
        <f t="shared" si="1"/>
        <v>PO-857</v>
      </c>
      <c r="D58" t="str">
        <f t="shared" ca="1" si="2"/>
        <v>T-01</v>
      </c>
      <c r="E58">
        <f ca="1">'Purchase Orders '!C58</f>
        <v>1075</v>
      </c>
      <c r="F58">
        <f ca="1">'Purchase Orders '!D58</f>
        <v>813</v>
      </c>
      <c r="G58">
        <f t="shared" ca="1" si="3"/>
        <v>797</v>
      </c>
      <c r="H58">
        <f t="shared" ca="1" si="4"/>
        <v>16</v>
      </c>
      <c r="I58" t="str">
        <f t="shared" ca="1" si="5"/>
        <v>16 units rejected due to transit damage</v>
      </c>
    </row>
    <row r="59" spans="1:9" x14ac:dyDescent="0.3">
      <c r="A59" t="s">
        <v>544</v>
      </c>
      <c r="B59" s="1" t="str">
        <f t="shared" ca="1" si="0"/>
        <v>2026-06-22</v>
      </c>
      <c r="C59" t="str">
        <f t="shared" si="1"/>
        <v>PO-858</v>
      </c>
      <c r="D59" t="str">
        <f t="shared" ca="1" si="2"/>
        <v>T-05</v>
      </c>
      <c r="E59">
        <f ca="1">'Purchase Orders '!C59</f>
        <v>1210</v>
      </c>
      <c r="F59">
        <f ca="1">'Purchase Orders '!D59</f>
        <v>686</v>
      </c>
      <c r="G59">
        <f t="shared" ca="1" si="3"/>
        <v>672</v>
      </c>
      <c r="H59">
        <f t="shared" ca="1" si="4"/>
        <v>14</v>
      </c>
      <c r="I59" t="str">
        <f t="shared" ca="1" si="5"/>
        <v>14 units rejected due to transit damage</v>
      </c>
    </row>
    <row r="60" spans="1:9" x14ac:dyDescent="0.3">
      <c r="A60" t="s">
        <v>545</v>
      </c>
      <c r="B60" s="1" t="str">
        <f t="shared" ca="1" si="0"/>
        <v>2026-06-22</v>
      </c>
      <c r="C60" t="str">
        <f t="shared" si="1"/>
        <v>PO-859</v>
      </c>
      <c r="D60" t="str">
        <f t="shared" ca="1" si="2"/>
        <v>T-01</v>
      </c>
      <c r="E60">
        <f ca="1">'Purchase Orders '!C60</f>
        <v>1064</v>
      </c>
      <c r="F60">
        <f ca="1">'Purchase Orders '!D60</f>
        <v>304</v>
      </c>
      <c r="G60">
        <f t="shared" ca="1" si="3"/>
        <v>292</v>
      </c>
      <c r="H60">
        <f t="shared" ca="1" si="4"/>
        <v>12</v>
      </c>
      <c r="I60" t="str">
        <f t="shared" ca="1" si="5"/>
        <v>12 units rejected due to transit damage</v>
      </c>
    </row>
    <row r="61" spans="1:9" x14ac:dyDescent="0.3">
      <c r="A61" t="s">
        <v>546</v>
      </c>
      <c r="B61" s="1" t="str">
        <f t="shared" ca="1" si="0"/>
        <v>2026-06-18</v>
      </c>
      <c r="C61" t="str">
        <f t="shared" si="1"/>
        <v>PO-860</v>
      </c>
      <c r="D61" t="str">
        <f t="shared" ca="1" si="2"/>
        <v>T-02</v>
      </c>
      <c r="E61">
        <f ca="1">'Purchase Orders '!C61</f>
        <v>1008</v>
      </c>
      <c r="F61">
        <f ca="1">'Purchase Orders '!D61</f>
        <v>619</v>
      </c>
      <c r="G61">
        <f t="shared" ca="1" si="3"/>
        <v>613</v>
      </c>
      <c r="H61">
        <f t="shared" ca="1" si="4"/>
        <v>6</v>
      </c>
      <c r="I61" t="str">
        <f t="shared" ca="1" si="5"/>
        <v>6 units rejected due to transit damage</v>
      </c>
    </row>
    <row r="62" spans="1:9" x14ac:dyDescent="0.3">
      <c r="A62" t="s">
        <v>547</v>
      </c>
      <c r="B62" s="1" t="str">
        <f t="shared" ca="1" si="0"/>
        <v>2026-06-24</v>
      </c>
      <c r="C62" t="str">
        <f t="shared" si="1"/>
        <v>PO-861</v>
      </c>
      <c r="D62" t="str">
        <f t="shared" ca="1" si="2"/>
        <v>T-03</v>
      </c>
      <c r="E62">
        <f ca="1">'Purchase Orders '!C62</f>
        <v>1003</v>
      </c>
      <c r="F62">
        <f ca="1">'Purchase Orders '!D62</f>
        <v>368</v>
      </c>
      <c r="G62">
        <f t="shared" ca="1" si="3"/>
        <v>353</v>
      </c>
      <c r="H62">
        <f t="shared" ca="1" si="4"/>
        <v>15</v>
      </c>
      <c r="I62" t="str">
        <f t="shared" ca="1" si="5"/>
        <v>15 units rejected due to transit damage</v>
      </c>
    </row>
    <row r="63" spans="1:9" x14ac:dyDescent="0.3">
      <c r="A63" t="s">
        <v>548</v>
      </c>
      <c r="B63" s="1" t="str">
        <f t="shared" ca="1" si="0"/>
        <v>2026-06-18</v>
      </c>
      <c r="C63" t="str">
        <f t="shared" si="1"/>
        <v>PO-862</v>
      </c>
      <c r="D63" t="str">
        <f t="shared" ca="1" si="2"/>
        <v>T-02</v>
      </c>
      <c r="E63">
        <f ca="1">'Purchase Orders '!C63</f>
        <v>1121</v>
      </c>
      <c r="F63">
        <f ca="1">'Purchase Orders '!D63</f>
        <v>338</v>
      </c>
      <c r="G63">
        <f t="shared" ca="1" si="3"/>
        <v>335</v>
      </c>
      <c r="H63">
        <f t="shared" ca="1" si="4"/>
        <v>3</v>
      </c>
      <c r="I63" t="str">
        <f t="shared" ca="1" si="5"/>
        <v>3 units rejected due to transit damage</v>
      </c>
    </row>
    <row r="64" spans="1:9" x14ac:dyDescent="0.3">
      <c r="A64" t="s">
        <v>549</v>
      </c>
      <c r="B64" s="1" t="str">
        <f t="shared" ca="1" si="0"/>
        <v>2026-06-25</v>
      </c>
      <c r="C64" t="str">
        <f t="shared" si="1"/>
        <v>PO-863</v>
      </c>
      <c r="D64" t="str">
        <f t="shared" ca="1" si="2"/>
        <v>T-01</v>
      </c>
      <c r="E64">
        <f ca="1">'Purchase Orders '!C64</f>
        <v>1046</v>
      </c>
      <c r="F64">
        <f ca="1">'Purchase Orders '!D64</f>
        <v>420</v>
      </c>
      <c r="G64">
        <f t="shared" ca="1" si="3"/>
        <v>407</v>
      </c>
      <c r="H64">
        <f t="shared" ca="1" si="4"/>
        <v>13</v>
      </c>
      <c r="I64" t="str">
        <f t="shared" ca="1" si="5"/>
        <v>13 units rejected due to transit damage</v>
      </c>
    </row>
    <row r="65" spans="1:9" x14ac:dyDescent="0.3">
      <c r="A65" t="s">
        <v>550</v>
      </c>
      <c r="B65" s="1" t="str">
        <f t="shared" ca="1" si="0"/>
        <v>2026-06-19</v>
      </c>
      <c r="C65" t="str">
        <f t="shared" si="1"/>
        <v>PO-864</v>
      </c>
      <c r="D65" t="str">
        <f t="shared" ca="1" si="2"/>
        <v>T-04</v>
      </c>
      <c r="E65">
        <f ca="1">'Purchase Orders '!C65</f>
        <v>1077</v>
      </c>
      <c r="F65">
        <f ca="1">'Purchase Orders '!D65</f>
        <v>590</v>
      </c>
      <c r="G65">
        <f t="shared" ca="1" si="3"/>
        <v>561</v>
      </c>
      <c r="H65">
        <f t="shared" ca="1" si="4"/>
        <v>29</v>
      </c>
      <c r="I65" t="str">
        <f t="shared" ca="1" si="5"/>
        <v>29 units rejected due to transit damage</v>
      </c>
    </row>
    <row r="66" spans="1:9" x14ac:dyDescent="0.3">
      <c r="A66" t="s">
        <v>551</v>
      </c>
      <c r="B66" s="1" t="str">
        <f t="shared" ca="1" si="0"/>
        <v>2026-06-23</v>
      </c>
      <c r="C66" t="str">
        <f t="shared" si="1"/>
        <v>PO-865</v>
      </c>
      <c r="D66" t="str">
        <f t="shared" ca="1" si="2"/>
        <v>T-04</v>
      </c>
      <c r="E66">
        <f ca="1">'Purchase Orders '!C66</f>
        <v>1197</v>
      </c>
      <c r="F66">
        <f ca="1">'Purchase Orders '!D66</f>
        <v>857</v>
      </c>
      <c r="G66">
        <f t="shared" ca="1" si="3"/>
        <v>848</v>
      </c>
      <c r="H66">
        <f t="shared" ca="1" si="4"/>
        <v>9</v>
      </c>
      <c r="I66" t="str">
        <f t="shared" ca="1" si="5"/>
        <v>9 units rejected due to transit damage</v>
      </c>
    </row>
    <row r="67" spans="1:9" x14ac:dyDescent="0.3">
      <c r="A67" t="s">
        <v>552</v>
      </c>
      <c r="B67" s="1" t="str">
        <f t="shared" ref="B67:B130" ca="1" si="6">"2026-06-" &amp; RANDBETWEEN(16,25)</f>
        <v>2026-06-24</v>
      </c>
      <c r="C67" t="str">
        <f t="shared" ref="C67:C130" si="7">"PO-" &amp; (ROW()+799)</f>
        <v>PO-866</v>
      </c>
      <c r="D67" t="str">
        <f t="shared" ref="D67:D130" ca="1" si="8">"T-0" &amp; RANDBETWEEN(1,5)</f>
        <v>T-05</v>
      </c>
      <c r="E67">
        <f ca="1">'Purchase Orders '!C67</f>
        <v>1263</v>
      </c>
      <c r="F67">
        <f ca="1">'Purchase Orders '!D67</f>
        <v>251</v>
      </c>
      <c r="G67">
        <f t="shared" ref="G67:G130" ca="1" si="9">ROUND(F67 * RANDBETWEEN(95,100)/100, 0)</f>
        <v>238</v>
      </c>
      <c r="H67">
        <f t="shared" ref="H67:H130" ca="1" si="10">F67-G67</f>
        <v>13</v>
      </c>
      <c r="I67" t="str">
        <f t="shared" ref="I67:I130" ca="1" si="11">IF(H67=0, "All items passed inspection", H67 &amp; " units rejected due to transit damage")</f>
        <v>13 units rejected due to transit damage</v>
      </c>
    </row>
    <row r="68" spans="1:9" x14ac:dyDescent="0.3">
      <c r="A68" t="s">
        <v>553</v>
      </c>
      <c r="B68" s="1" t="str">
        <f t="shared" ca="1" si="6"/>
        <v>2026-06-25</v>
      </c>
      <c r="C68" t="str">
        <f t="shared" si="7"/>
        <v>PO-867</v>
      </c>
      <c r="D68" t="str">
        <f t="shared" ca="1" si="8"/>
        <v>T-02</v>
      </c>
      <c r="E68">
        <f ca="1">'Purchase Orders '!C68</f>
        <v>1090</v>
      </c>
      <c r="F68">
        <f ca="1">'Purchase Orders '!D68</f>
        <v>720</v>
      </c>
      <c r="G68">
        <f t="shared" ca="1" si="9"/>
        <v>706</v>
      </c>
      <c r="H68">
        <f t="shared" ca="1" si="10"/>
        <v>14</v>
      </c>
      <c r="I68" t="str">
        <f t="shared" ca="1" si="11"/>
        <v>14 units rejected due to transit damage</v>
      </c>
    </row>
    <row r="69" spans="1:9" x14ac:dyDescent="0.3">
      <c r="A69" t="s">
        <v>554</v>
      </c>
      <c r="B69" s="1" t="str">
        <f t="shared" ca="1" si="6"/>
        <v>2026-06-19</v>
      </c>
      <c r="C69" t="str">
        <f t="shared" si="7"/>
        <v>PO-868</v>
      </c>
      <c r="D69" t="str">
        <f t="shared" ca="1" si="8"/>
        <v>T-05</v>
      </c>
      <c r="E69">
        <f ca="1">'Purchase Orders '!C69</f>
        <v>1144</v>
      </c>
      <c r="F69">
        <f ca="1">'Purchase Orders '!D69</f>
        <v>931</v>
      </c>
      <c r="G69">
        <f t="shared" ca="1" si="9"/>
        <v>931</v>
      </c>
      <c r="H69">
        <f t="shared" ca="1" si="10"/>
        <v>0</v>
      </c>
      <c r="I69" t="str">
        <f t="shared" ca="1" si="11"/>
        <v>All items passed inspection</v>
      </c>
    </row>
    <row r="70" spans="1:9" x14ac:dyDescent="0.3">
      <c r="A70" t="s">
        <v>555</v>
      </c>
      <c r="B70" s="1" t="str">
        <f t="shared" ca="1" si="6"/>
        <v>2026-06-18</v>
      </c>
      <c r="C70" t="str">
        <f t="shared" si="7"/>
        <v>PO-869</v>
      </c>
      <c r="D70" t="str">
        <f t="shared" ca="1" si="8"/>
        <v>T-01</v>
      </c>
      <c r="E70">
        <f ca="1">'Purchase Orders '!C70</f>
        <v>1062</v>
      </c>
      <c r="F70">
        <f ca="1">'Purchase Orders '!D70</f>
        <v>423</v>
      </c>
      <c r="G70">
        <f t="shared" ca="1" si="9"/>
        <v>419</v>
      </c>
      <c r="H70">
        <f t="shared" ca="1" si="10"/>
        <v>4</v>
      </c>
      <c r="I70" t="str">
        <f t="shared" ca="1" si="11"/>
        <v>4 units rejected due to transit damage</v>
      </c>
    </row>
    <row r="71" spans="1:9" x14ac:dyDescent="0.3">
      <c r="A71" t="s">
        <v>556</v>
      </c>
      <c r="B71" s="1" t="str">
        <f t="shared" ca="1" si="6"/>
        <v>2026-06-16</v>
      </c>
      <c r="C71" t="str">
        <f t="shared" si="7"/>
        <v>PO-870</v>
      </c>
      <c r="D71" t="str">
        <f t="shared" ca="1" si="8"/>
        <v>T-05</v>
      </c>
      <c r="E71">
        <f ca="1">'Purchase Orders '!C71</f>
        <v>1049</v>
      </c>
      <c r="F71">
        <f ca="1">'Purchase Orders '!D71</f>
        <v>605</v>
      </c>
      <c r="G71">
        <f t="shared" ca="1" si="9"/>
        <v>599</v>
      </c>
      <c r="H71">
        <f t="shared" ca="1" si="10"/>
        <v>6</v>
      </c>
      <c r="I71" t="str">
        <f t="shared" ca="1" si="11"/>
        <v>6 units rejected due to transit damage</v>
      </c>
    </row>
    <row r="72" spans="1:9" x14ac:dyDescent="0.3">
      <c r="A72" t="s">
        <v>557</v>
      </c>
      <c r="B72" s="1" t="str">
        <f t="shared" ca="1" si="6"/>
        <v>2026-06-23</v>
      </c>
      <c r="C72" t="str">
        <f t="shared" si="7"/>
        <v>PO-871</v>
      </c>
      <c r="D72" t="str">
        <f t="shared" ca="1" si="8"/>
        <v>T-05</v>
      </c>
      <c r="E72">
        <f ca="1">'Purchase Orders '!C72</f>
        <v>1041</v>
      </c>
      <c r="F72">
        <f ca="1">'Purchase Orders '!D72</f>
        <v>448</v>
      </c>
      <c r="G72">
        <f t="shared" ca="1" si="9"/>
        <v>444</v>
      </c>
      <c r="H72">
        <f t="shared" ca="1" si="10"/>
        <v>4</v>
      </c>
      <c r="I72" t="str">
        <f t="shared" ca="1" si="11"/>
        <v>4 units rejected due to transit damage</v>
      </c>
    </row>
    <row r="73" spans="1:9" x14ac:dyDescent="0.3">
      <c r="A73" t="s">
        <v>558</v>
      </c>
      <c r="B73" s="1" t="str">
        <f t="shared" ca="1" si="6"/>
        <v>2026-06-24</v>
      </c>
      <c r="C73" t="str">
        <f t="shared" si="7"/>
        <v>PO-872</v>
      </c>
      <c r="D73" t="str">
        <f t="shared" ca="1" si="8"/>
        <v>T-02</v>
      </c>
      <c r="E73">
        <f ca="1">'Purchase Orders '!C73</f>
        <v>1076</v>
      </c>
      <c r="F73">
        <f ca="1">'Purchase Orders '!D73</f>
        <v>441</v>
      </c>
      <c r="G73">
        <f t="shared" ca="1" si="9"/>
        <v>428</v>
      </c>
      <c r="H73">
        <f t="shared" ca="1" si="10"/>
        <v>13</v>
      </c>
      <c r="I73" t="str">
        <f t="shared" ca="1" si="11"/>
        <v>13 units rejected due to transit damage</v>
      </c>
    </row>
    <row r="74" spans="1:9" x14ac:dyDescent="0.3">
      <c r="A74" t="s">
        <v>559</v>
      </c>
      <c r="B74" s="1" t="str">
        <f t="shared" ca="1" si="6"/>
        <v>2026-06-16</v>
      </c>
      <c r="C74" t="str">
        <f t="shared" si="7"/>
        <v>PO-873</v>
      </c>
      <c r="D74" t="str">
        <f t="shared" ca="1" si="8"/>
        <v>T-04</v>
      </c>
      <c r="E74">
        <f ca="1">'Purchase Orders '!C74</f>
        <v>1138</v>
      </c>
      <c r="F74">
        <f ca="1">'Purchase Orders '!D74</f>
        <v>625</v>
      </c>
      <c r="G74">
        <f t="shared" ca="1" si="9"/>
        <v>594</v>
      </c>
      <c r="H74">
        <f t="shared" ca="1" si="10"/>
        <v>31</v>
      </c>
      <c r="I74" t="str">
        <f t="shared" ca="1" si="11"/>
        <v>31 units rejected due to transit damage</v>
      </c>
    </row>
    <row r="75" spans="1:9" x14ac:dyDescent="0.3">
      <c r="A75" t="s">
        <v>560</v>
      </c>
      <c r="B75" s="1" t="str">
        <f t="shared" ca="1" si="6"/>
        <v>2026-06-22</v>
      </c>
      <c r="C75" t="str">
        <f t="shared" si="7"/>
        <v>PO-874</v>
      </c>
      <c r="D75" t="str">
        <f t="shared" ca="1" si="8"/>
        <v>T-01</v>
      </c>
      <c r="E75">
        <f ca="1">'Purchase Orders '!C75</f>
        <v>1120</v>
      </c>
      <c r="F75">
        <f ca="1">'Purchase Orders '!D75</f>
        <v>228</v>
      </c>
      <c r="G75">
        <f t="shared" ca="1" si="9"/>
        <v>221</v>
      </c>
      <c r="H75">
        <f t="shared" ca="1" si="10"/>
        <v>7</v>
      </c>
      <c r="I75" t="str">
        <f t="shared" ca="1" si="11"/>
        <v>7 units rejected due to transit damage</v>
      </c>
    </row>
    <row r="76" spans="1:9" x14ac:dyDescent="0.3">
      <c r="A76" t="s">
        <v>561</v>
      </c>
      <c r="B76" s="1" t="str">
        <f t="shared" ca="1" si="6"/>
        <v>2026-06-24</v>
      </c>
      <c r="C76" t="str">
        <f t="shared" si="7"/>
        <v>PO-875</v>
      </c>
      <c r="D76" t="str">
        <f t="shared" ca="1" si="8"/>
        <v>T-05</v>
      </c>
      <c r="E76">
        <f ca="1">'Purchase Orders '!C76</f>
        <v>1120</v>
      </c>
      <c r="F76">
        <f ca="1">'Purchase Orders '!D76</f>
        <v>541</v>
      </c>
      <c r="G76">
        <f t="shared" ca="1" si="9"/>
        <v>519</v>
      </c>
      <c r="H76">
        <f t="shared" ca="1" si="10"/>
        <v>22</v>
      </c>
      <c r="I76" t="str">
        <f t="shared" ca="1" si="11"/>
        <v>22 units rejected due to transit damage</v>
      </c>
    </row>
    <row r="77" spans="1:9" x14ac:dyDescent="0.3">
      <c r="A77" t="s">
        <v>562</v>
      </c>
      <c r="B77" s="1" t="str">
        <f t="shared" ca="1" si="6"/>
        <v>2026-06-17</v>
      </c>
      <c r="C77" t="str">
        <f t="shared" si="7"/>
        <v>PO-876</v>
      </c>
      <c r="D77" t="str">
        <f t="shared" ca="1" si="8"/>
        <v>T-04</v>
      </c>
      <c r="E77">
        <f ca="1">'Purchase Orders '!C77</f>
        <v>1224</v>
      </c>
      <c r="F77">
        <f ca="1">'Purchase Orders '!D77</f>
        <v>542</v>
      </c>
      <c r="G77">
        <f t="shared" ca="1" si="9"/>
        <v>515</v>
      </c>
      <c r="H77">
        <f t="shared" ca="1" si="10"/>
        <v>27</v>
      </c>
      <c r="I77" t="str">
        <f t="shared" ca="1" si="11"/>
        <v>27 units rejected due to transit damage</v>
      </c>
    </row>
    <row r="78" spans="1:9" x14ac:dyDescent="0.3">
      <c r="A78" t="s">
        <v>563</v>
      </c>
      <c r="B78" s="1" t="str">
        <f t="shared" ca="1" si="6"/>
        <v>2026-06-22</v>
      </c>
      <c r="C78" t="str">
        <f t="shared" si="7"/>
        <v>PO-877</v>
      </c>
      <c r="D78" t="str">
        <f t="shared" ca="1" si="8"/>
        <v>T-04</v>
      </c>
      <c r="E78">
        <f ca="1">'Purchase Orders '!C78</f>
        <v>1074</v>
      </c>
      <c r="F78">
        <f ca="1">'Purchase Orders '!D78</f>
        <v>613</v>
      </c>
      <c r="G78">
        <f t="shared" ca="1" si="9"/>
        <v>607</v>
      </c>
      <c r="H78">
        <f t="shared" ca="1" si="10"/>
        <v>6</v>
      </c>
      <c r="I78" t="str">
        <f t="shared" ca="1" si="11"/>
        <v>6 units rejected due to transit damage</v>
      </c>
    </row>
    <row r="79" spans="1:9" x14ac:dyDescent="0.3">
      <c r="A79" t="s">
        <v>564</v>
      </c>
      <c r="B79" s="1" t="str">
        <f t="shared" ca="1" si="6"/>
        <v>2026-06-25</v>
      </c>
      <c r="C79" t="str">
        <f t="shared" si="7"/>
        <v>PO-878</v>
      </c>
      <c r="D79" t="str">
        <f t="shared" ca="1" si="8"/>
        <v>T-04</v>
      </c>
      <c r="E79">
        <f ca="1">'Purchase Orders '!C79</f>
        <v>1240</v>
      </c>
      <c r="F79">
        <f ca="1">'Purchase Orders '!D79</f>
        <v>473</v>
      </c>
      <c r="G79">
        <f t="shared" ca="1" si="9"/>
        <v>449</v>
      </c>
      <c r="H79">
        <f t="shared" ca="1" si="10"/>
        <v>24</v>
      </c>
      <c r="I79" t="str">
        <f t="shared" ca="1" si="11"/>
        <v>24 units rejected due to transit damage</v>
      </c>
    </row>
    <row r="80" spans="1:9" x14ac:dyDescent="0.3">
      <c r="A80" t="s">
        <v>565</v>
      </c>
      <c r="B80" s="1" t="str">
        <f t="shared" ca="1" si="6"/>
        <v>2026-06-24</v>
      </c>
      <c r="C80" t="str">
        <f t="shared" si="7"/>
        <v>PO-879</v>
      </c>
      <c r="D80" t="str">
        <f t="shared" ca="1" si="8"/>
        <v>T-03</v>
      </c>
      <c r="E80">
        <f ca="1">'Purchase Orders '!C80</f>
        <v>1149</v>
      </c>
      <c r="F80">
        <f ca="1">'Purchase Orders '!D80</f>
        <v>586</v>
      </c>
      <c r="G80">
        <f t="shared" ca="1" si="9"/>
        <v>586</v>
      </c>
      <c r="H80">
        <f t="shared" ca="1" si="10"/>
        <v>0</v>
      </c>
      <c r="I80" t="str">
        <f t="shared" ca="1" si="11"/>
        <v>All items passed inspection</v>
      </c>
    </row>
    <row r="81" spans="1:9" x14ac:dyDescent="0.3">
      <c r="A81" t="s">
        <v>566</v>
      </c>
      <c r="B81" s="1" t="str">
        <f t="shared" ca="1" si="6"/>
        <v>2026-06-24</v>
      </c>
      <c r="C81" t="str">
        <f t="shared" si="7"/>
        <v>PO-880</v>
      </c>
      <c r="D81" t="str">
        <f t="shared" ca="1" si="8"/>
        <v>T-04</v>
      </c>
      <c r="E81">
        <f ca="1">'Purchase Orders '!C81</f>
        <v>1056</v>
      </c>
      <c r="F81">
        <f ca="1">'Purchase Orders '!D81</f>
        <v>582</v>
      </c>
      <c r="G81">
        <f t="shared" ca="1" si="9"/>
        <v>570</v>
      </c>
      <c r="H81">
        <f t="shared" ca="1" si="10"/>
        <v>12</v>
      </c>
      <c r="I81" t="str">
        <f t="shared" ca="1" si="11"/>
        <v>12 units rejected due to transit damage</v>
      </c>
    </row>
    <row r="82" spans="1:9" x14ac:dyDescent="0.3">
      <c r="A82" t="s">
        <v>567</v>
      </c>
      <c r="B82" s="1" t="str">
        <f t="shared" ca="1" si="6"/>
        <v>2026-06-21</v>
      </c>
      <c r="C82" t="str">
        <f t="shared" si="7"/>
        <v>PO-881</v>
      </c>
      <c r="D82" t="str">
        <f t="shared" ca="1" si="8"/>
        <v>T-02</v>
      </c>
      <c r="E82">
        <f ca="1">'Purchase Orders '!C82</f>
        <v>1259</v>
      </c>
      <c r="F82">
        <f ca="1">'Purchase Orders '!D82</f>
        <v>142</v>
      </c>
      <c r="G82">
        <f t="shared" ca="1" si="9"/>
        <v>139</v>
      </c>
      <c r="H82">
        <f t="shared" ca="1" si="10"/>
        <v>3</v>
      </c>
      <c r="I82" t="str">
        <f t="shared" ca="1" si="11"/>
        <v>3 units rejected due to transit damage</v>
      </c>
    </row>
    <row r="83" spans="1:9" x14ac:dyDescent="0.3">
      <c r="A83" t="s">
        <v>568</v>
      </c>
      <c r="B83" s="1" t="str">
        <f t="shared" ca="1" si="6"/>
        <v>2026-06-22</v>
      </c>
      <c r="C83" t="str">
        <f t="shared" si="7"/>
        <v>PO-882</v>
      </c>
      <c r="D83" t="str">
        <f t="shared" ca="1" si="8"/>
        <v>T-03</v>
      </c>
      <c r="E83">
        <f ca="1">'Purchase Orders '!C83</f>
        <v>1032</v>
      </c>
      <c r="F83">
        <f ca="1">'Purchase Orders '!D83</f>
        <v>593</v>
      </c>
      <c r="G83">
        <f t="shared" ca="1" si="9"/>
        <v>587</v>
      </c>
      <c r="H83">
        <f t="shared" ca="1" si="10"/>
        <v>6</v>
      </c>
      <c r="I83" t="str">
        <f t="shared" ca="1" si="11"/>
        <v>6 units rejected due to transit damage</v>
      </c>
    </row>
    <row r="84" spans="1:9" x14ac:dyDescent="0.3">
      <c r="A84" t="s">
        <v>569</v>
      </c>
      <c r="B84" s="1" t="str">
        <f t="shared" ca="1" si="6"/>
        <v>2026-06-25</v>
      </c>
      <c r="C84" t="str">
        <f t="shared" si="7"/>
        <v>PO-883</v>
      </c>
      <c r="D84" t="str">
        <f t="shared" ca="1" si="8"/>
        <v>T-02</v>
      </c>
      <c r="E84">
        <f ca="1">'Purchase Orders '!C84</f>
        <v>1083</v>
      </c>
      <c r="F84">
        <f ca="1">'Purchase Orders '!D84</f>
        <v>703</v>
      </c>
      <c r="G84">
        <f t="shared" ca="1" si="9"/>
        <v>668</v>
      </c>
      <c r="H84">
        <f t="shared" ca="1" si="10"/>
        <v>35</v>
      </c>
      <c r="I84" t="str">
        <f t="shared" ca="1" si="11"/>
        <v>35 units rejected due to transit damage</v>
      </c>
    </row>
    <row r="85" spans="1:9" x14ac:dyDescent="0.3">
      <c r="A85" t="s">
        <v>570</v>
      </c>
      <c r="B85" s="1" t="str">
        <f t="shared" ca="1" si="6"/>
        <v>2026-06-17</v>
      </c>
      <c r="C85" t="str">
        <f t="shared" si="7"/>
        <v>PO-884</v>
      </c>
      <c r="D85" t="str">
        <f t="shared" ca="1" si="8"/>
        <v>T-01</v>
      </c>
      <c r="E85">
        <f ca="1">'Purchase Orders '!C85</f>
        <v>1004</v>
      </c>
      <c r="F85">
        <f ca="1">'Purchase Orders '!D85</f>
        <v>524</v>
      </c>
      <c r="G85">
        <f t="shared" ca="1" si="9"/>
        <v>498</v>
      </c>
      <c r="H85">
        <f t="shared" ca="1" si="10"/>
        <v>26</v>
      </c>
      <c r="I85" t="str">
        <f t="shared" ca="1" si="11"/>
        <v>26 units rejected due to transit damage</v>
      </c>
    </row>
    <row r="86" spans="1:9" x14ac:dyDescent="0.3">
      <c r="A86" t="s">
        <v>571</v>
      </c>
      <c r="B86" s="1" t="str">
        <f t="shared" ca="1" si="6"/>
        <v>2026-06-23</v>
      </c>
      <c r="C86" t="str">
        <f t="shared" si="7"/>
        <v>PO-885</v>
      </c>
      <c r="D86" t="str">
        <f t="shared" ca="1" si="8"/>
        <v>T-03</v>
      </c>
      <c r="E86">
        <f ca="1">'Purchase Orders '!C86</f>
        <v>1051</v>
      </c>
      <c r="F86">
        <f ca="1">'Purchase Orders '!D86</f>
        <v>714</v>
      </c>
      <c r="G86">
        <f t="shared" ca="1" si="9"/>
        <v>678</v>
      </c>
      <c r="H86">
        <f t="shared" ca="1" si="10"/>
        <v>36</v>
      </c>
      <c r="I86" t="str">
        <f t="shared" ca="1" si="11"/>
        <v>36 units rejected due to transit damage</v>
      </c>
    </row>
    <row r="87" spans="1:9" x14ac:dyDescent="0.3">
      <c r="A87" t="s">
        <v>572</v>
      </c>
      <c r="B87" s="1" t="str">
        <f t="shared" ca="1" si="6"/>
        <v>2026-06-17</v>
      </c>
      <c r="C87" t="str">
        <f t="shared" si="7"/>
        <v>PO-886</v>
      </c>
      <c r="D87" t="str">
        <f t="shared" ca="1" si="8"/>
        <v>T-04</v>
      </c>
      <c r="E87">
        <f ca="1">'Purchase Orders '!C87</f>
        <v>1073</v>
      </c>
      <c r="F87">
        <f ca="1">'Purchase Orders '!D87</f>
        <v>497</v>
      </c>
      <c r="G87">
        <f t="shared" ca="1" si="9"/>
        <v>477</v>
      </c>
      <c r="H87">
        <f t="shared" ca="1" si="10"/>
        <v>20</v>
      </c>
      <c r="I87" t="str">
        <f t="shared" ca="1" si="11"/>
        <v>20 units rejected due to transit damage</v>
      </c>
    </row>
    <row r="88" spans="1:9" x14ac:dyDescent="0.3">
      <c r="A88" t="s">
        <v>573</v>
      </c>
      <c r="B88" s="1" t="str">
        <f t="shared" ca="1" si="6"/>
        <v>2026-06-22</v>
      </c>
      <c r="C88" t="str">
        <f t="shared" si="7"/>
        <v>PO-887</v>
      </c>
      <c r="D88" t="str">
        <f t="shared" ca="1" si="8"/>
        <v>T-05</v>
      </c>
      <c r="E88">
        <f ca="1">'Purchase Orders '!C88</f>
        <v>1139</v>
      </c>
      <c r="F88">
        <f ca="1">'Purchase Orders '!D88</f>
        <v>956</v>
      </c>
      <c r="G88">
        <f t="shared" ca="1" si="9"/>
        <v>946</v>
      </c>
      <c r="H88">
        <f t="shared" ca="1" si="10"/>
        <v>10</v>
      </c>
      <c r="I88" t="str">
        <f t="shared" ca="1" si="11"/>
        <v>10 units rejected due to transit damage</v>
      </c>
    </row>
    <row r="89" spans="1:9" x14ac:dyDescent="0.3">
      <c r="A89" t="s">
        <v>574</v>
      </c>
      <c r="B89" s="1" t="str">
        <f t="shared" ca="1" si="6"/>
        <v>2026-06-21</v>
      </c>
      <c r="C89" t="str">
        <f t="shared" si="7"/>
        <v>PO-888</v>
      </c>
      <c r="D89" t="str">
        <f t="shared" ca="1" si="8"/>
        <v>T-04</v>
      </c>
      <c r="E89">
        <f ca="1">'Purchase Orders '!C89</f>
        <v>1269</v>
      </c>
      <c r="F89">
        <f ca="1">'Purchase Orders '!D89</f>
        <v>417</v>
      </c>
      <c r="G89">
        <f t="shared" ca="1" si="9"/>
        <v>400</v>
      </c>
      <c r="H89">
        <f t="shared" ca="1" si="10"/>
        <v>17</v>
      </c>
      <c r="I89" t="str">
        <f t="shared" ca="1" si="11"/>
        <v>17 units rejected due to transit damage</v>
      </c>
    </row>
    <row r="90" spans="1:9" x14ac:dyDescent="0.3">
      <c r="A90" t="s">
        <v>575</v>
      </c>
      <c r="B90" s="1" t="str">
        <f t="shared" ca="1" si="6"/>
        <v>2026-06-25</v>
      </c>
      <c r="C90" t="str">
        <f t="shared" si="7"/>
        <v>PO-889</v>
      </c>
      <c r="D90" t="str">
        <f t="shared" ca="1" si="8"/>
        <v>T-01</v>
      </c>
      <c r="E90">
        <f ca="1">'Purchase Orders '!C90</f>
        <v>1019</v>
      </c>
      <c r="F90">
        <f ca="1">'Purchase Orders '!D90</f>
        <v>546</v>
      </c>
      <c r="G90">
        <f t="shared" ca="1" si="9"/>
        <v>524</v>
      </c>
      <c r="H90">
        <f t="shared" ca="1" si="10"/>
        <v>22</v>
      </c>
      <c r="I90" t="str">
        <f t="shared" ca="1" si="11"/>
        <v>22 units rejected due to transit damage</v>
      </c>
    </row>
    <row r="91" spans="1:9" x14ac:dyDescent="0.3">
      <c r="A91" t="s">
        <v>576</v>
      </c>
      <c r="B91" s="1" t="str">
        <f t="shared" ca="1" si="6"/>
        <v>2026-06-17</v>
      </c>
      <c r="C91" t="str">
        <f t="shared" si="7"/>
        <v>PO-890</v>
      </c>
      <c r="D91" t="str">
        <f t="shared" ca="1" si="8"/>
        <v>T-03</v>
      </c>
      <c r="E91">
        <f ca="1">'Purchase Orders '!C91</f>
        <v>1100</v>
      </c>
      <c r="F91">
        <f ca="1">'Purchase Orders '!D91</f>
        <v>568</v>
      </c>
      <c r="G91">
        <f t="shared" ca="1" si="9"/>
        <v>568</v>
      </c>
      <c r="H91">
        <f t="shared" ca="1" si="10"/>
        <v>0</v>
      </c>
      <c r="I91" t="str">
        <f t="shared" ca="1" si="11"/>
        <v>All items passed inspection</v>
      </c>
    </row>
    <row r="92" spans="1:9" x14ac:dyDescent="0.3">
      <c r="A92" t="s">
        <v>577</v>
      </c>
      <c r="B92" s="1" t="str">
        <f t="shared" ca="1" si="6"/>
        <v>2026-06-17</v>
      </c>
      <c r="C92" t="str">
        <f t="shared" si="7"/>
        <v>PO-891</v>
      </c>
      <c r="D92" t="str">
        <f t="shared" ca="1" si="8"/>
        <v>T-03</v>
      </c>
      <c r="E92">
        <f ca="1">'Purchase Orders '!C92</f>
        <v>1004</v>
      </c>
      <c r="F92">
        <f ca="1">'Purchase Orders '!D92</f>
        <v>990</v>
      </c>
      <c r="G92">
        <f t="shared" ca="1" si="9"/>
        <v>941</v>
      </c>
      <c r="H92">
        <f t="shared" ca="1" si="10"/>
        <v>49</v>
      </c>
      <c r="I92" t="str">
        <f t="shared" ca="1" si="11"/>
        <v>49 units rejected due to transit damage</v>
      </c>
    </row>
    <row r="93" spans="1:9" x14ac:dyDescent="0.3">
      <c r="A93" t="s">
        <v>578</v>
      </c>
      <c r="B93" s="1" t="str">
        <f t="shared" ca="1" si="6"/>
        <v>2026-06-25</v>
      </c>
      <c r="C93" t="str">
        <f t="shared" si="7"/>
        <v>PO-892</v>
      </c>
      <c r="D93" t="str">
        <f t="shared" ca="1" si="8"/>
        <v>T-05</v>
      </c>
      <c r="E93">
        <f ca="1">'Purchase Orders '!C93</f>
        <v>1079</v>
      </c>
      <c r="F93">
        <f ca="1">'Purchase Orders '!D93</f>
        <v>901</v>
      </c>
      <c r="G93">
        <f t="shared" ca="1" si="9"/>
        <v>874</v>
      </c>
      <c r="H93">
        <f t="shared" ca="1" si="10"/>
        <v>27</v>
      </c>
      <c r="I93" t="str">
        <f t="shared" ca="1" si="11"/>
        <v>27 units rejected due to transit damage</v>
      </c>
    </row>
    <row r="94" spans="1:9" x14ac:dyDescent="0.3">
      <c r="A94" t="s">
        <v>579</v>
      </c>
      <c r="B94" s="1" t="str">
        <f t="shared" ca="1" si="6"/>
        <v>2026-06-18</v>
      </c>
      <c r="C94" t="str">
        <f t="shared" si="7"/>
        <v>PO-893</v>
      </c>
      <c r="D94" t="str">
        <f t="shared" ca="1" si="8"/>
        <v>T-04</v>
      </c>
      <c r="E94">
        <f ca="1">'Purchase Orders '!C94</f>
        <v>1075</v>
      </c>
      <c r="F94">
        <f ca="1">'Purchase Orders '!D94</f>
        <v>477</v>
      </c>
      <c r="G94">
        <f t="shared" ca="1" si="9"/>
        <v>467</v>
      </c>
      <c r="H94">
        <f t="shared" ca="1" si="10"/>
        <v>10</v>
      </c>
      <c r="I94" t="str">
        <f t="shared" ca="1" si="11"/>
        <v>10 units rejected due to transit damage</v>
      </c>
    </row>
    <row r="95" spans="1:9" x14ac:dyDescent="0.3">
      <c r="A95" t="s">
        <v>580</v>
      </c>
      <c r="B95" s="1" t="str">
        <f t="shared" ca="1" si="6"/>
        <v>2026-06-17</v>
      </c>
      <c r="C95" t="str">
        <f t="shared" si="7"/>
        <v>PO-894</v>
      </c>
      <c r="D95" t="str">
        <f t="shared" ca="1" si="8"/>
        <v>T-02</v>
      </c>
      <c r="E95">
        <f ca="1">'Purchase Orders '!C95</f>
        <v>1114</v>
      </c>
      <c r="F95">
        <f ca="1">'Purchase Orders '!D95</f>
        <v>869</v>
      </c>
      <c r="G95">
        <f t="shared" ca="1" si="9"/>
        <v>852</v>
      </c>
      <c r="H95">
        <f t="shared" ca="1" si="10"/>
        <v>17</v>
      </c>
      <c r="I95" t="str">
        <f t="shared" ca="1" si="11"/>
        <v>17 units rejected due to transit damage</v>
      </c>
    </row>
    <row r="96" spans="1:9" x14ac:dyDescent="0.3">
      <c r="A96" t="s">
        <v>581</v>
      </c>
      <c r="B96" s="1" t="str">
        <f t="shared" ca="1" si="6"/>
        <v>2026-06-25</v>
      </c>
      <c r="C96" t="str">
        <f t="shared" si="7"/>
        <v>PO-895</v>
      </c>
      <c r="D96" t="str">
        <f t="shared" ca="1" si="8"/>
        <v>T-01</v>
      </c>
      <c r="E96">
        <f ca="1">'Purchase Orders '!C96</f>
        <v>1038</v>
      </c>
      <c r="F96">
        <f ca="1">'Purchase Orders '!D96</f>
        <v>757</v>
      </c>
      <c r="G96">
        <f t="shared" ca="1" si="9"/>
        <v>727</v>
      </c>
      <c r="H96">
        <f t="shared" ca="1" si="10"/>
        <v>30</v>
      </c>
      <c r="I96" t="str">
        <f t="shared" ca="1" si="11"/>
        <v>30 units rejected due to transit damage</v>
      </c>
    </row>
    <row r="97" spans="1:9" x14ac:dyDescent="0.3">
      <c r="A97" t="s">
        <v>582</v>
      </c>
      <c r="B97" s="1" t="str">
        <f t="shared" ca="1" si="6"/>
        <v>2026-06-16</v>
      </c>
      <c r="C97" t="str">
        <f t="shared" si="7"/>
        <v>PO-896</v>
      </c>
      <c r="D97" t="str">
        <f t="shared" ca="1" si="8"/>
        <v>T-05</v>
      </c>
      <c r="E97">
        <f ca="1">'Purchase Orders '!C97</f>
        <v>1245</v>
      </c>
      <c r="F97">
        <f ca="1">'Purchase Orders '!D97</f>
        <v>187</v>
      </c>
      <c r="G97">
        <f t="shared" ca="1" si="9"/>
        <v>185</v>
      </c>
      <c r="H97">
        <f t="shared" ca="1" si="10"/>
        <v>2</v>
      </c>
      <c r="I97" t="str">
        <f t="shared" ca="1" si="11"/>
        <v>2 units rejected due to transit damage</v>
      </c>
    </row>
    <row r="98" spans="1:9" x14ac:dyDescent="0.3">
      <c r="A98" t="s">
        <v>583</v>
      </c>
      <c r="B98" s="1" t="str">
        <f t="shared" ca="1" si="6"/>
        <v>2026-06-18</v>
      </c>
      <c r="C98" t="str">
        <f t="shared" si="7"/>
        <v>PO-897</v>
      </c>
      <c r="D98" t="str">
        <f t="shared" ca="1" si="8"/>
        <v>T-02</v>
      </c>
      <c r="E98">
        <f ca="1">'Purchase Orders '!C98</f>
        <v>1160</v>
      </c>
      <c r="F98">
        <f ca="1">'Purchase Orders '!D98</f>
        <v>276</v>
      </c>
      <c r="G98">
        <f t="shared" ca="1" si="9"/>
        <v>276</v>
      </c>
      <c r="H98">
        <f t="shared" ca="1" si="10"/>
        <v>0</v>
      </c>
      <c r="I98" t="str">
        <f t="shared" ca="1" si="11"/>
        <v>All items passed inspection</v>
      </c>
    </row>
    <row r="99" spans="1:9" x14ac:dyDescent="0.3">
      <c r="A99" t="s">
        <v>584</v>
      </c>
      <c r="B99" s="1" t="str">
        <f t="shared" ca="1" si="6"/>
        <v>2026-06-17</v>
      </c>
      <c r="C99" t="str">
        <f t="shared" si="7"/>
        <v>PO-898</v>
      </c>
      <c r="D99" t="str">
        <f t="shared" ca="1" si="8"/>
        <v>T-04</v>
      </c>
      <c r="E99">
        <f ca="1">'Purchase Orders '!C99</f>
        <v>1064</v>
      </c>
      <c r="F99">
        <f ca="1">'Purchase Orders '!D99</f>
        <v>116</v>
      </c>
      <c r="G99">
        <f t="shared" ca="1" si="9"/>
        <v>116</v>
      </c>
      <c r="H99">
        <f t="shared" ca="1" si="10"/>
        <v>0</v>
      </c>
      <c r="I99" t="str">
        <f t="shared" ca="1" si="11"/>
        <v>All items passed inspection</v>
      </c>
    </row>
    <row r="100" spans="1:9" x14ac:dyDescent="0.3">
      <c r="A100" t="s">
        <v>585</v>
      </c>
      <c r="B100" s="1" t="str">
        <f t="shared" ca="1" si="6"/>
        <v>2026-06-16</v>
      </c>
      <c r="C100" t="str">
        <f t="shared" si="7"/>
        <v>PO-899</v>
      </c>
      <c r="D100" t="str">
        <f t="shared" ca="1" si="8"/>
        <v>T-02</v>
      </c>
      <c r="E100">
        <f ca="1">'Purchase Orders '!C100</f>
        <v>1159</v>
      </c>
      <c r="F100">
        <f ca="1">'Purchase Orders '!D100</f>
        <v>175</v>
      </c>
      <c r="G100">
        <f t="shared" ca="1" si="9"/>
        <v>172</v>
      </c>
      <c r="H100">
        <f t="shared" ca="1" si="10"/>
        <v>3</v>
      </c>
      <c r="I100" t="str">
        <f t="shared" ca="1" si="11"/>
        <v>3 units rejected due to transit damage</v>
      </c>
    </row>
    <row r="101" spans="1:9" x14ac:dyDescent="0.3">
      <c r="A101" t="s">
        <v>586</v>
      </c>
      <c r="B101" s="1" t="str">
        <f t="shared" ca="1" si="6"/>
        <v>2026-06-20</v>
      </c>
      <c r="C101" t="str">
        <f t="shared" si="7"/>
        <v>PO-900</v>
      </c>
      <c r="D101" t="str">
        <f t="shared" ca="1" si="8"/>
        <v>T-03</v>
      </c>
      <c r="E101">
        <f ca="1">'Purchase Orders '!C101</f>
        <v>1041</v>
      </c>
      <c r="F101">
        <f ca="1">'Purchase Orders '!D101</f>
        <v>297</v>
      </c>
      <c r="G101">
        <f t="shared" ca="1" si="9"/>
        <v>297</v>
      </c>
      <c r="H101">
        <f t="shared" ca="1" si="10"/>
        <v>0</v>
      </c>
      <c r="I101" t="str">
        <f t="shared" ca="1" si="11"/>
        <v>All items passed inspection</v>
      </c>
    </row>
    <row r="102" spans="1:9" x14ac:dyDescent="0.3">
      <c r="A102" t="s">
        <v>587</v>
      </c>
      <c r="B102" s="1" t="str">
        <f t="shared" ca="1" si="6"/>
        <v>2026-06-24</v>
      </c>
      <c r="C102" t="str">
        <f t="shared" si="7"/>
        <v>PO-901</v>
      </c>
      <c r="D102" t="str">
        <f t="shared" ca="1" si="8"/>
        <v>T-02</v>
      </c>
      <c r="E102">
        <f ca="1">'Purchase Orders '!C102</f>
        <v>1071</v>
      </c>
      <c r="F102">
        <f ca="1">'Purchase Orders '!D102</f>
        <v>165</v>
      </c>
      <c r="G102">
        <f t="shared" ca="1" si="9"/>
        <v>160</v>
      </c>
      <c r="H102">
        <f t="shared" ca="1" si="10"/>
        <v>5</v>
      </c>
      <c r="I102" t="str">
        <f t="shared" ca="1" si="11"/>
        <v>5 units rejected due to transit damage</v>
      </c>
    </row>
    <row r="103" spans="1:9" x14ac:dyDescent="0.3">
      <c r="A103" t="s">
        <v>588</v>
      </c>
      <c r="B103" s="1" t="str">
        <f t="shared" ca="1" si="6"/>
        <v>2026-06-16</v>
      </c>
      <c r="C103" t="str">
        <f t="shared" si="7"/>
        <v>PO-902</v>
      </c>
      <c r="D103" t="str">
        <f t="shared" ca="1" si="8"/>
        <v>T-05</v>
      </c>
      <c r="E103">
        <f ca="1">'Purchase Orders '!C103</f>
        <v>1140</v>
      </c>
      <c r="F103">
        <f ca="1">'Purchase Orders '!D103</f>
        <v>617</v>
      </c>
      <c r="G103">
        <f t="shared" ca="1" si="9"/>
        <v>611</v>
      </c>
      <c r="H103">
        <f t="shared" ca="1" si="10"/>
        <v>6</v>
      </c>
      <c r="I103" t="str">
        <f t="shared" ca="1" si="11"/>
        <v>6 units rejected due to transit damage</v>
      </c>
    </row>
    <row r="104" spans="1:9" x14ac:dyDescent="0.3">
      <c r="A104" t="s">
        <v>589</v>
      </c>
      <c r="B104" s="1" t="str">
        <f t="shared" ca="1" si="6"/>
        <v>2026-06-19</v>
      </c>
      <c r="C104" t="str">
        <f t="shared" si="7"/>
        <v>PO-903</v>
      </c>
      <c r="D104" t="str">
        <f t="shared" ca="1" si="8"/>
        <v>T-04</v>
      </c>
      <c r="E104">
        <f ca="1">'Purchase Orders '!C104</f>
        <v>1091</v>
      </c>
      <c r="F104">
        <f ca="1">'Purchase Orders '!D104</f>
        <v>352</v>
      </c>
      <c r="G104">
        <f t="shared" ca="1" si="9"/>
        <v>345</v>
      </c>
      <c r="H104">
        <f t="shared" ca="1" si="10"/>
        <v>7</v>
      </c>
      <c r="I104" t="str">
        <f t="shared" ca="1" si="11"/>
        <v>7 units rejected due to transit damage</v>
      </c>
    </row>
    <row r="105" spans="1:9" x14ac:dyDescent="0.3">
      <c r="A105" t="s">
        <v>590</v>
      </c>
      <c r="B105" s="1" t="str">
        <f t="shared" ca="1" si="6"/>
        <v>2026-06-20</v>
      </c>
      <c r="C105" t="str">
        <f t="shared" si="7"/>
        <v>PO-904</v>
      </c>
      <c r="D105" t="str">
        <f t="shared" ca="1" si="8"/>
        <v>T-03</v>
      </c>
      <c r="E105">
        <f ca="1">'Purchase Orders '!C105</f>
        <v>1165</v>
      </c>
      <c r="F105">
        <f ca="1">'Purchase Orders '!D105</f>
        <v>883</v>
      </c>
      <c r="G105">
        <f t="shared" ca="1" si="9"/>
        <v>865</v>
      </c>
      <c r="H105">
        <f t="shared" ca="1" si="10"/>
        <v>18</v>
      </c>
      <c r="I105" t="str">
        <f t="shared" ca="1" si="11"/>
        <v>18 units rejected due to transit damage</v>
      </c>
    </row>
    <row r="106" spans="1:9" x14ac:dyDescent="0.3">
      <c r="A106" t="s">
        <v>591</v>
      </c>
      <c r="B106" s="1" t="str">
        <f t="shared" ca="1" si="6"/>
        <v>2026-06-18</v>
      </c>
      <c r="C106" t="str">
        <f t="shared" si="7"/>
        <v>PO-905</v>
      </c>
      <c r="D106" t="str">
        <f t="shared" ca="1" si="8"/>
        <v>T-01</v>
      </c>
      <c r="E106">
        <f ca="1">'Purchase Orders '!C106</f>
        <v>1225</v>
      </c>
      <c r="F106">
        <f ca="1">'Purchase Orders '!D106</f>
        <v>380</v>
      </c>
      <c r="G106">
        <f t="shared" ca="1" si="9"/>
        <v>372</v>
      </c>
      <c r="H106">
        <f t="shared" ca="1" si="10"/>
        <v>8</v>
      </c>
      <c r="I106" t="str">
        <f t="shared" ca="1" si="11"/>
        <v>8 units rejected due to transit damage</v>
      </c>
    </row>
    <row r="107" spans="1:9" x14ac:dyDescent="0.3">
      <c r="A107" t="s">
        <v>592</v>
      </c>
      <c r="B107" s="1" t="str">
        <f t="shared" ca="1" si="6"/>
        <v>2026-06-22</v>
      </c>
      <c r="C107" t="str">
        <f t="shared" si="7"/>
        <v>PO-906</v>
      </c>
      <c r="D107" t="str">
        <f t="shared" ca="1" si="8"/>
        <v>T-03</v>
      </c>
      <c r="E107">
        <f ca="1">'Purchase Orders '!C107</f>
        <v>1049</v>
      </c>
      <c r="F107">
        <f ca="1">'Purchase Orders '!D107</f>
        <v>204</v>
      </c>
      <c r="G107">
        <f t="shared" ca="1" si="9"/>
        <v>198</v>
      </c>
      <c r="H107">
        <f t="shared" ca="1" si="10"/>
        <v>6</v>
      </c>
      <c r="I107" t="str">
        <f t="shared" ca="1" si="11"/>
        <v>6 units rejected due to transit damage</v>
      </c>
    </row>
    <row r="108" spans="1:9" x14ac:dyDescent="0.3">
      <c r="A108" t="s">
        <v>593</v>
      </c>
      <c r="B108" s="1" t="str">
        <f t="shared" ca="1" si="6"/>
        <v>2026-06-23</v>
      </c>
      <c r="C108" t="str">
        <f t="shared" si="7"/>
        <v>PO-907</v>
      </c>
      <c r="D108" t="str">
        <f t="shared" ca="1" si="8"/>
        <v>T-03</v>
      </c>
      <c r="E108">
        <f ca="1">'Purchase Orders '!C108</f>
        <v>1238</v>
      </c>
      <c r="F108">
        <f ca="1">'Purchase Orders '!D108</f>
        <v>148</v>
      </c>
      <c r="G108">
        <f t="shared" ca="1" si="9"/>
        <v>141</v>
      </c>
      <c r="H108">
        <f t="shared" ca="1" si="10"/>
        <v>7</v>
      </c>
      <c r="I108" t="str">
        <f t="shared" ca="1" si="11"/>
        <v>7 units rejected due to transit damage</v>
      </c>
    </row>
    <row r="109" spans="1:9" x14ac:dyDescent="0.3">
      <c r="A109" t="s">
        <v>594</v>
      </c>
      <c r="B109" s="1" t="str">
        <f t="shared" ca="1" si="6"/>
        <v>2026-06-25</v>
      </c>
      <c r="C109" t="str">
        <f t="shared" si="7"/>
        <v>PO-908</v>
      </c>
      <c r="D109" t="str">
        <f t="shared" ca="1" si="8"/>
        <v>T-05</v>
      </c>
      <c r="E109">
        <f ca="1">'Purchase Orders '!C109</f>
        <v>1151</v>
      </c>
      <c r="F109">
        <f ca="1">'Purchase Orders '!D109</f>
        <v>129</v>
      </c>
      <c r="G109">
        <f t="shared" ca="1" si="9"/>
        <v>126</v>
      </c>
      <c r="H109">
        <f t="shared" ca="1" si="10"/>
        <v>3</v>
      </c>
      <c r="I109" t="str">
        <f t="shared" ca="1" si="11"/>
        <v>3 units rejected due to transit damage</v>
      </c>
    </row>
    <row r="110" spans="1:9" x14ac:dyDescent="0.3">
      <c r="A110" t="s">
        <v>595</v>
      </c>
      <c r="B110" s="1" t="str">
        <f t="shared" ca="1" si="6"/>
        <v>2026-06-25</v>
      </c>
      <c r="C110" t="str">
        <f t="shared" si="7"/>
        <v>PO-909</v>
      </c>
      <c r="D110" t="str">
        <f t="shared" ca="1" si="8"/>
        <v>T-02</v>
      </c>
      <c r="E110">
        <f ca="1">'Purchase Orders '!C110</f>
        <v>1204</v>
      </c>
      <c r="F110">
        <f ca="1">'Purchase Orders '!D110</f>
        <v>478</v>
      </c>
      <c r="G110">
        <f t="shared" ca="1" si="9"/>
        <v>464</v>
      </c>
      <c r="H110">
        <f t="shared" ca="1" si="10"/>
        <v>14</v>
      </c>
      <c r="I110" t="str">
        <f t="shared" ca="1" si="11"/>
        <v>14 units rejected due to transit damage</v>
      </c>
    </row>
    <row r="111" spans="1:9" x14ac:dyDescent="0.3">
      <c r="A111" t="s">
        <v>596</v>
      </c>
      <c r="B111" s="1" t="str">
        <f t="shared" ca="1" si="6"/>
        <v>2026-06-21</v>
      </c>
      <c r="C111" t="str">
        <f t="shared" si="7"/>
        <v>PO-910</v>
      </c>
      <c r="D111" t="str">
        <f t="shared" ca="1" si="8"/>
        <v>T-05</v>
      </c>
      <c r="E111">
        <f ca="1">'Purchase Orders '!C111</f>
        <v>1254</v>
      </c>
      <c r="F111">
        <f ca="1">'Purchase Orders '!D111</f>
        <v>730</v>
      </c>
      <c r="G111">
        <f t="shared" ca="1" si="9"/>
        <v>694</v>
      </c>
      <c r="H111">
        <f t="shared" ca="1" si="10"/>
        <v>36</v>
      </c>
      <c r="I111" t="str">
        <f t="shared" ca="1" si="11"/>
        <v>36 units rejected due to transit damage</v>
      </c>
    </row>
    <row r="112" spans="1:9" x14ac:dyDescent="0.3">
      <c r="A112" t="s">
        <v>597</v>
      </c>
      <c r="B112" s="1" t="str">
        <f t="shared" ca="1" si="6"/>
        <v>2026-06-25</v>
      </c>
      <c r="C112" t="str">
        <f t="shared" si="7"/>
        <v>PO-911</v>
      </c>
      <c r="D112" t="str">
        <f t="shared" ca="1" si="8"/>
        <v>T-04</v>
      </c>
      <c r="E112">
        <f ca="1">'Purchase Orders '!C112</f>
        <v>1274</v>
      </c>
      <c r="F112">
        <f ca="1">'Purchase Orders '!D112</f>
        <v>189</v>
      </c>
      <c r="G112">
        <f t="shared" ca="1" si="9"/>
        <v>180</v>
      </c>
      <c r="H112">
        <f t="shared" ca="1" si="10"/>
        <v>9</v>
      </c>
      <c r="I112" t="str">
        <f t="shared" ca="1" si="11"/>
        <v>9 units rejected due to transit damage</v>
      </c>
    </row>
    <row r="113" spans="1:9" x14ac:dyDescent="0.3">
      <c r="A113" t="s">
        <v>598</v>
      </c>
      <c r="B113" s="1" t="str">
        <f t="shared" ca="1" si="6"/>
        <v>2026-06-23</v>
      </c>
      <c r="C113" t="str">
        <f t="shared" si="7"/>
        <v>PO-912</v>
      </c>
      <c r="D113" t="str">
        <f t="shared" ca="1" si="8"/>
        <v>T-02</v>
      </c>
      <c r="E113">
        <f ca="1">'Purchase Orders '!C113</f>
        <v>1156</v>
      </c>
      <c r="F113">
        <f ca="1">'Purchase Orders '!D113</f>
        <v>609</v>
      </c>
      <c r="G113">
        <f t="shared" ca="1" si="9"/>
        <v>591</v>
      </c>
      <c r="H113">
        <f t="shared" ca="1" si="10"/>
        <v>18</v>
      </c>
      <c r="I113" t="str">
        <f t="shared" ca="1" si="11"/>
        <v>18 units rejected due to transit damage</v>
      </c>
    </row>
    <row r="114" spans="1:9" x14ac:dyDescent="0.3">
      <c r="A114" t="s">
        <v>599</v>
      </c>
      <c r="B114" s="1" t="str">
        <f t="shared" ca="1" si="6"/>
        <v>2026-06-19</v>
      </c>
      <c r="C114" t="str">
        <f t="shared" si="7"/>
        <v>PO-913</v>
      </c>
      <c r="D114" t="str">
        <f t="shared" ca="1" si="8"/>
        <v>T-05</v>
      </c>
      <c r="E114">
        <f ca="1">'Purchase Orders '!C114</f>
        <v>1051</v>
      </c>
      <c r="F114">
        <f ca="1">'Purchase Orders '!D114</f>
        <v>589</v>
      </c>
      <c r="G114">
        <f t="shared" ca="1" si="9"/>
        <v>560</v>
      </c>
      <c r="H114">
        <f t="shared" ca="1" si="10"/>
        <v>29</v>
      </c>
      <c r="I114" t="str">
        <f t="shared" ca="1" si="11"/>
        <v>29 units rejected due to transit damage</v>
      </c>
    </row>
    <row r="115" spans="1:9" x14ac:dyDescent="0.3">
      <c r="A115" t="s">
        <v>600</v>
      </c>
      <c r="B115" s="1" t="str">
        <f t="shared" ca="1" si="6"/>
        <v>2026-06-24</v>
      </c>
      <c r="C115" t="str">
        <f t="shared" si="7"/>
        <v>PO-914</v>
      </c>
      <c r="D115" t="str">
        <f t="shared" ca="1" si="8"/>
        <v>T-03</v>
      </c>
      <c r="E115">
        <f ca="1">'Purchase Orders '!C115</f>
        <v>1176</v>
      </c>
      <c r="F115">
        <f ca="1">'Purchase Orders '!D115</f>
        <v>246</v>
      </c>
      <c r="G115">
        <f t="shared" ca="1" si="9"/>
        <v>246</v>
      </c>
      <c r="H115">
        <f t="shared" ca="1" si="10"/>
        <v>0</v>
      </c>
      <c r="I115" t="str">
        <f t="shared" ca="1" si="11"/>
        <v>All items passed inspection</v>
      </c>
    </row>
    <row r="116" spans="1:9" x14ac:dyDescent="0.3">
      <c r="A116" t="s">
        <v>601</v>
      </c>
      <c r="B116" s="1" t="str">
        <f t="shared" ca="1" si="6"/>
        <v>2026-06-19</v>
      </c>
      <c r="C116" t="str">
        <f t="shared" si="7"/>
        <v>PO-915</v>
      </c>
      <c r="D116" t="str">
        <f t="shared" ca="1" si="8"/>
        <v>T-05</v>
      </c>
      <c r="E116">
        <f ca="1">'Purchase Orders '!C116</f>
        <v>1019</v>
      </c>
      <c r="F116">
        <f ca="1">'Purchase Orders '!D116</f>
        <v>583</v>
      </c>
      <c r="G116">
        <f t="shared" ca="1" si="9"/>
        <v>571</v>
      </c>
      <c r="H116">
        <f t="shared" ca="1" si="10"/>
        <v>12</v>
      </c>
      <c r="I116" t="str">
        <f t="shared" ca="1" si="11"/>
        <v>12 units rejected due to transit damage</v>
      </c>
    </row>
    <row r="117" spans="1:9" x14ac:dyDescent="0.3">
      <c r="A117" t="s">
        <v>602</v>
      </c>
      <c r="B117" s="1" t="str">
        <f t="shared" ca="1" si="6"/>
        <v>2026-06-18</v>
      </c>
      <c r="C117" t="str">
        <f t="shared" si="7"/>
        <v>PO-916</v>
      </c>
      <c r="D117" t="str">
        <f t="shared" ca="1" si="8"/>
        <v>T-02</v>
      </c>
      <c r="E117">
        <f ca="1">'Purchase Orders '!C117</f>
        <v>1069</v>
      </c>
      <c r="F117">
        <f ca="1">'Purchase Orders '!D117</f>
        <v>486</v>
      </c>
      <c r="G117">
        <f t="shared" ca="1" si="9"/>
        <v>467</v>
      </c>
      <c r="H117">
        <f t="shared" ca="1" si="10"/>
        <v>19</v>
      </c>
      <c r="I117" t="str">
        <f t="shared" ca="1" si="11"/>
        <v>19 units rejected due to transit damage</v>
      </c>
    </row>
    <row r="118" spans="1:9" x14ac:dyDescent="0.3">
      <c r="A118" t="s">
        <v>603</v>
      </c>
      <c r="B118" s="1" t="str">
        <f t="shared" ca="1" si="6"/>
        <v>2026-06-18</v>
      </c>
      <c r="C118" t="str">
        <f t="shared" si="7"/>
        <v>PO-917</v>
      </c>
      <c r="D118" t="str">
        <f t="shared" ca="1" si="8"/>
        <v>T-02</v>
      </c>
      <c r="E118">
        <f ca="1">'Purchase Orders '!C118</f>
        <v>1128</v>
      </c>
      <c r="F118">
        <f ca="1">'Purchase Orders '!D118</f>
        <v>840</v>
      </c>
      <c r="G118">
        <f t="shared" ca="1" si="9"/>
        <v>806</v>
      </c>
      <c r="H118">
        <f t="shared" ca="1" si="10"/>
        <v>34</v>
      </c>
      <c r="I118" t="str">
        <f t="shared" ca="1" si="11"/>
        <v>34 units rejected due to transit damage</v>
      </c>
    </row>
    <row r="119" spans="1:9" x14ac:dyDescent="0.3">
      <c r="A119" t="s">
        <v>604</v>
      </c>
      <c r="B119" s="1" t="str">
        <f t="shared" ca="1" si="6"/>
        <v>2026-06-19</v>
      </c>
      <c r="C119" t="str">
        <f t="shared" si="7"/>
        <v>PO-918</v>
      </c>
      <c r="D119" t="str">
        <f t="shared" ca="1" si="8"/>
        <v>T-05</v>
      </c>
      <c r="E119">
        <f ca="1">'Purchase Orders '!C119</f>
        <v>1219</v>
      </c>
      <c r="F119">
        <f ca="1">'Purchase Orders '!D119</f>
        <v>700</v>
      </c>
      <c r="G119">
        <f t="shared" ca="1" si="9"/>
        <v>679</v>
      </c>
      <c r="H119">
        <f t="shared" ca="1" si="10"/>
        <v>21</v>
      </c>
      <c r="I119" t="str">
        <f t="shared" ca="1" si="11"/>
        <v>21 units rejected due to transit damage</v>
      </c>
    </row>
    <row r="120" spans="1:9" x14ac:dyDescent="0.3">
      <c r="A120" t="s">
        <v>605</v>
      </c>
      <c r="B120" s="1" t="str">
        <f t="shared" ca="1" si="6"/>
        <v>2026-06-22</v>
      </c>
      <c r="C120" t="str">
        <f t="shared" si="7"/>
        <v>PO-919</v>
      </c>
      <c r="D120" t="str">
        <f t="shared" ca="1" si="8"/>
        <v>T-03</v>
      </c>
      <c r="E120">
        <f ca="1">'Purchase Orders '!C120</f>
        <v>1271</v>
      </c>
      <c r="F120">
        <f ca="1">'Purchase Orders '!D120</f>
        <v>696</v>
      </c>
      <c r="G120">
        <f t="shared" ca="1" si="9"/>
        <v>689</v>
      </c>
      <c r="H120">
        <f t="shared" ca="1" si="10"/>
        <v>7</v>
      </c>
      <c r="I120" t="str">
        <f t="shared" ca="1" si="11"/>
        <v>7 units rejected due to transit damage</v>
      </c>
    </row>
    <row r="121" spans="1:9" x14ac:dyDescent="0.3">
      <c r="A121" t="s">
        <v>606</v>
      </c>
      <c r="B121" s="1" t="str">
        <f t="shared" ca="1" si="6"/>
        <v>2026-06-18</v>
      </c>
      <c r="C121" t="str">
        <f t="shared" si="7"/>
        <v>PO-920</v>
      </c>
      <c r="D121" t="str">
        <f t="shared" ca="1" si="8"/>
        <v>T-04</v>
      </c>
      <c r="E121">
        <f ca="1">'Purchase Orders '!C121</f>
        <v>1244</v>
      </c>
      <c r="F121">
        <f ca="1">'Purchase Orders '!D121</f>
        <v>130</v>
      </c>
      <c r="G121">
        <f t="shared" ca="1" si="9"/>
        <v>129</v>
      </c>
      <c r="H121">
        <f t="shared" ca="1" si="10"/>
        <v>1</v>
      </c>
      <c r="I121" t="str">
        <f t="shared" ca="1" si="11"/>
        <v>1 units rejected due to transit damage</v>
      </c>
    </row>
    <row r="122" spans="1:9" x14ac:dyDescent="0.3">
      <c r="A122" t="s">
        <v>607</v>
      </c>
      <c r="B122" s="1" t="str">
        <f t="shared" ca="1" si="6"/>
        <v>2026-06-24</v>
      </c>
      <c r="C122" t="str">
        <f t="shared" si="7"/>
        <v>PO-921</v>
      </c>
      <c r="D122" t="str">
        <f t="shared" ca="1" si="8"/>
        <v>T-04</v>
      </c>
      <c r="E122">
        <f ca="1">'Purchase Orders '!C122</f>
        <v>1220</v>
      </c>
      <c r="F122">
        <f ca="1">'Purchase Orders '!D122</f>
        <v>496</v>
      </c>
      <c r="G122">
        <f t="shared" ca="1" si="9"/>
        <v>496</v>
      </c>
      <c r="H122">
        <f t="shared" ca="1" si="10"/>
        <v>0</v>
      </c>
      <c r="I122" t="str">
        <f t="shared" ca="1" si="11"/>
        <v>All items passed inspection</v>
      </c>
    </row>
    <row r="123" spans="1:9" x14ac:dyDescent="0.3">
      <c r="A123" t="s">
        <v>608</v>
      </c>
      <c r="B123" s="1" t="str">
        <f t="shared" ca="1" si="6"/>
        <v>2026-06-25</v>
      </c>
      <c r="C123" t="str">
        <f t="shared" si="7"/>
        <v>PO-922</v>
      </c>
      <c r="D123" t="str">
        <f t="shared" ca="1" si="8"/>
        <v>T-05</v>
      </c>
      <c r="E123">
        <f ca="1">'Purchase Orders '!C123</f>
        <v>1024</v>
      </c>
      <c r="F123">
        <f ca="1">'Purchase Orders '!D123</f>
        <v>704</v>
      </c>
      <c r="G123">
        <f t="shared" ca="1" si="9"/>
        <v>669</v>
      </c>
      <c r="H123">
        <f t="shared" ca="1" si="10"/>
        <v>35</v>
      </c>
      <c r="I123" t="str">
        <f t="shared" ca="1" si="11"/>
        <v>35 units rejected due to transit damage</v>
      </c>
    </row>
    <row r="124" spans="1:9" x14ac:dyDescent="0.3">
      <c r="A124" t="s">
        <v>609</v>
      </c>
      <c r="B124" s="1" t="str">
        <f t="shared" ca="1" si="6"/>
        <v>2026-06-24</v>
      </c>
      <c r="C124" t="str">
        <f t="shared" si="7"/>
        <v>PO-923</v>
      </c>
      <c r="D124" t="str">
        <f t="shared" ca="1" si="8"/>
        <v>T-03</v>
      </c>
      <c r="E124">
        <f ca="1">'Purchase Orders '!C124</f>
        <v>1201</v>
      </c>
      <c r="F124">
        <f ca="1">'Purchase Orders '!D124</f>
        <v>742</v>
      </c>
      <c r="G124">
        <f t="shared" ca="1" si="9"/>
        <v>742</v>
      </c>
      <c r="H124">
        <f t="shared" ca="1" si="10"/>
        <v>0</v>
      </c>
      <c r="I124" t="str">
        <f t="shared" ca="1" si="11"/>
        <v>All items passed inspection</v>
      </c>
    </row>
    <row r="125" spans="1:9" x14ac:dyDescent="0.3">
      <c r="A125" t="s">
        <v>610</v>
      </c>
      <c r="B125" s="1" t="str">
        <f t="shared" ca="1" si="6"/>
        <v>2026-06-24</v>
      </c>
      <c r="C125" t="str">
        <f t="shared" si="7"/>
        <v>PO-924</v>
      </c>
      <c r="D125" t="str">
        <f t="shared" ca="1" si="8"/>
        <v>T-05</v>
      </c>
      <c r="E125">
        <f ca="1">'Purchase Orders '!C125</f>
        <v>1212</v>
      </c>
      <c r="F125">
        <f ca="1">'Purchase Orders '!D125</f>
        <v>943</v>
      </c>
      <c r="G125">
        <f t="shared" ca="1" si="9"/>
        <v>915</v>
      </c>
      <c r="H125">
        <f t="shared" ca="1" si="10"/>
        <v>28</v>
      </c>
      <c r="I125" t="str">
        <f t="shared" ca="1" si="11"/>
        <v>28 units rejected due to transit damage</v>
      </c>
    </row>
    <row r="126" spans="1:9" x14ac:dyDescent="0.3">
      <c r="A126" t="s">
        <v>611</v>
      </c>
      <c r="B126" s="1" t="str">
        <f t="shared" ca="1" si="6"/>
        <v>2026-06-24</v>
      </c>
      <c r="C126" t="str">
        <f t="shared" si="7"/>
        <v>PO-925</v>
      </c>
      <c r="D126" t="str">
        <f t="shared" ca="1" si="8"/>
        <v>T-02</v>
      </c>
      <c r="E126">
        <f ca="1">'Purchase Orders '!C126</f>
        <v>1128</v>
      </c>
      <c r="F126">
        <f ca="1">'Purchase Orders '!D126</f>
        <v>757</v>
      </c>
      <c r="G126">
        <f t="shared" ca="1" si="9"/>
        <v>727</v>
      </c>
      <c r="H126">
        <f t="shared" ca="1" si="10"/>
        <v>30</v>
      </c>
      <c r="I126" t="str">
        <f t="shared" ca="1" si="11"/>
        <v>30 units rejected due to transit damage</v>
      </c>
    </row>
    <row r="127" spans="1:9" x14ac:dyDescent="0.3">
      <c r="A127" t="s">
        <v>612</v>
      </c>
      <c r="B127" s="1" t="str">
        <f t="shared" ca="1" si="6"/>
        <v>2026-06-22</v>
      </c>
      <c r="C127" t="str">
        <f t="shared" si="7"/>
        <v>PO-926</v>
      </c>
      <c r="D127" t="str">
        <f t="shared" ca="1" si="8"/>
        <v>T-05</v>
      </c>
      <c r="E127">
        <f ca="1">'Purchase Orders '!C127</f>
        <v>1198</v>
      </c>
      <c r="F127">
        <f ca="1">'Purchase Orders '!D127</f>
        <v>511</v>
      </c>
      <c r="G127">
        <f t="shared" ca="1" si="9"/>
        <v>491</v>
      </c>
      <c r="H127">
        <f t="shared" ca="1" si="10"/>
        <v>20</v>
      </c>
      <c r="I127" t="str">
        <f t="shared" ca="1" si="11"/>
        <v>20 units rejected due to transit damage</v>
      </c>
    </row>
    <row r="128" spans="1:9" x14ac:dyDescent="0.3">
      <c r="A128" t="s">
        <v>613</v>
      </c>
      <c r="B128" s="1" t="str">
        <f t="shared" ca="1" si="6"/>
        <v>2026-06-25</v>
      </c>
      <c r="C128" t="str">
        <f t="shared" si="7"/>
        <v>PO-927</v>
      </c>
      <c r="D128" t="str">
        <f t="shared" ca="1" si="8"/>
        <v>T-03</v>
      </c>
      <c r="E128">
        <f ca="1">'Purchase Orders '!C128</f>
        <v>1164</v>
      </c>
      <c r="F128">
        <f ca="1">'Purchase Orders '!D128</f>
        <v>144</v>
      </c>
      <c r="G128">
        <f t="shared" ca="1" si="9"/>
        <v>137</v>
      </c>
      <c r="H128">
        <f t="shared" ca="1" si="10"/>
        <v>7</v>
      </c>
      <c r="I128" t="str">
        <f t="shared" ca="1" si="11"/>
        <v>7 units rejected due to transit damage</v>
      </c>
    </row>
    <row r="129" spans="1:9" x14ac:dyDescent="0.3">
      <c r="A129" t="s">
        <v>614</v>
      </c>
      <c r="B129" s="1" t="str">
        <f t="shared" ca="1" si="6"/>
        <v>2026-06-16</v>
      </c>
      <c r="C129" t="str">
        <f t="shared" si="7"/>
        <v>PO-928</v>
      </c>
      <c r="D129" t="str">
        <f t="shared" ca="1" si="8"/>
        <v>T-02</v>
      </c>
      <c r="E129">
        <f ca="1">'Purchase Orders '!C129</f>
        <v>1141</v>
      </c>
      <c r="F129">
        <f ca="1">'Purchase Orders '!D129</f>
        <v>791</v>
      </c>
      <c r="G129">
        <f t="shared" ca="1" si="9"/>
        <v>767</v>
      </c>
      <c r="H129">
        <f t="shared" ca="1" si="10"/>
        <v>24</v>
      </c>
      <c r="I129" t="str">
        <f t="shared" ca="1" si="11"/>
        <v>24 units rejected due to transit damage</v>
      </c>
    </row>
    <row r="130" spans="1:9" x14ac:dyDescent="0.3">
      <c r="A130" t="s">
        <v>615</v>
      </c>
      <c r="B130" s="1" t="str">
        <f t="shared" ca="1" si="6"/>
        <v>2026-06-17</v>
      </c>
      <c r="C130" t="str">
        <f t="shared" si="7"/>
        <v>PO-929</v>
      </c>
      <c r="D130" t="str">
        <f t="shared" ca="1" si="8"/>
        <v>T-03</v>
      </c>
      <c r="E130">
        <f ca="1">'Purchase Orders '!C130</f>
        <v>1229</v>
      </c>
      <c r="F130">
        <f ca="1">'Purchase Orders '!D130</f>
        <v>261</v>
      </c>
      <c r="G130">
        <f t="shared" ca="1" si="9"/>
        <v>256</v>
      </c>
      <c r="H130">
        <f t="shared" ca="1" si="10"/>
        <v>5</v>
      </c>
      <c r="I130" t="str">
        <f t="shared" ca="1" si="11"/>
        <v>5 units rejected due to transit damage</v>
      </c>
    </row>
    <row r="131" spans="1:9" x14ac:dyDescent="0.3">
      <c r="A131" t="s">
        <v>616</v>
      </c>
      <c r="B131" s="1" t="str">
        <f t="shared" ref="B131:B150" ca="1" si="12">"2026-06-" &amp; RANDBETWEEN(16,25)</f>
        <v>2026-06-16</v>
      </c>
      <c r="C131" t="str">
        <f t="shared" ref="C131:C150" si="13">"PO-" &amp; (ROW()+799)</f>
        <v>PO-930</v>
      </c>
      <c r="D131" t="str">
        <f t="shared" ref="D131:D150" ca="1" si="14">"T-0" &amp; RANDBETWEEN(1,5)</f>
        <v>T-01</v>
      </c>
      <c r="E131">
        <f ca="1">'Purchase Orders '!C131</f>
        <v>1124</v>
      </c>
      <c r="F131">
        <f ca="1">'Purchase Orders '!D131</f>
        <v>811</v>
      </c>
      <c r="G131">
        <f t="shared" ref="G131:G150" ca="1" si="15">ROUND(F131 * RANDBETWEEN(95,100)/100, 0)</f>
        <v>779</v>
      </c>
      <c r="H131">
        <f t="shared" ref="H131:H150" ca="1" si="16">F131-G131</f>
        <v>32</v>
      </c>
      <c r="I131" t="str">
        <f t="shared" ref="I131:I150" ca="1" si="17">IF(H131=0, "All items passed inspection", H131 &amp; " units rejected due to transit damage")</f>
        <v>32 units rejected due to transit damage</v>
      </c>
    </row>
    <row r="132" spans="1:9" x14ac:dyDescent="0.3">
      <c r="A132" t="s">
        <v>617</v>
      </c>
      <c r="B132" s="1" t="str">
        <f t="shared" ca="1" si="12"/>
        <v>2026-06-20</v>
      </c>
      <c r="C132" t="str">
        <f t="shared" si="13"/>
        <v>PO-931</v>
      </c>
      <c r="D132" t="str">
        <f t="shared" ca="1" si="14"/>
        <v>T-02</v>
      </c>
      <c r="E132">
        <f ca="1">'Purchase Orders '!C132</f>
        <v>1035</v>
      </c>
      <c r="F132">
        <f ca="1">'Purchase Orders '!D132</f>
        <v>878</v>
      </c>
      <c r="G132">
        <f t="shared" ca="1" si="15"/>
        <v>834</v>
      </c>
      <c r="H132">
        <f t="shared" ca="1" si="16"/>
        <v>44</v>
      </c>
      <c r="I132" t="str">
        <f t="shared" ca="1" si="17"/>
        <v>44 units rejected due to transit damage</v>
      </c>
    </row>
    <row r="133" spans="1:9" x14ac:dyDescent="0.3">
      <c r="A133" t="s">
        <v>618</v>
      </c>
      <c r="B133" s="1" t="str">
        <f t="shared" ca="1" si="12"/>
        <v>2026-06-19</v>
      </c>
      <c r="C133" t="str">
        <f t="shared" si="13"/>
        <v>PO-932</v>
      </c>
      <c r="D133" t="str">
        <f t="shared" ca="1" si="14"/>
        <v>T-01</v>
      </c>
      <c r="E133">
        <f ca="1">'Purchase Orders '!C133</f>
        <v>1093</v>
      </c>
      <c r="F133">
        <f ca="1">'Purchase Orders '!D133</f>
        <v>100</v>
      </c>
      <c r="G133">
        <f t="shared" ca="1" si="15"/>
        <v>99</v>
      </c>
      <c r="H133">
        <f t="shared" ca="1" si="16"/>
        <v>1</v>
      </c>
      <c r="I133" t="str">
        <f t="shared" ca="1" si="17"/>
        <v>1 units rejected due to transit damage</v>
      </c>
    </row>
    <row r="134" spans="1:9" x14ac:dyDescent="0.3">
      <c r="A134" t="s">
        <v>619</v>
      </c>
      <c r="B134" s="1" t="str">
        <f t="shared" ca="1" si="12"/>
        <v>2026-06-20</v>
      </c>
      <c r="C134" t="str">
        <f t="shared" si="13"/>
        <v>PO-933</v>
      </c>
      <c r="D134" t="str">
        <f t="shared" ca="1" si="14"/>
        <v>T-01</v>
      </c>
      <c r="E134">
        <f ca="1">'Purchase Orders '!C134</f>
        <v>1216</v>
      </c>
      <c r="F134">
        <f ca="1">'Purchase Orders '!D134</f>
        <v>403</v>
      </c>
      <c r="G134">
        <f t="shared" ca="1" si="15"/>
        <v>383</v>
      </c>
      <c r="H134">
        <f t="shared" ca="1" si="16"/>
        <v>20</v>
      </c>
      <c r="I134" t="str">
        <f t="shared" ca="1" si="17"/>
        <v>20 units rejected due to transit damage</v>
      </c>
    </row>
    <row r="135" spans="1:9" x14ac:dyDescent="0.3">
      <c r="A135" t="s">
        <v>620</v>
      </c>
      <c r="B135" s="1" t="str">
        <f t="shared" ca="1" si="12"/>
        <v>2026-06-20</v>
      </c>
      <c r="C135" t="str">
        <f t="shared" si="13"/>
        <v>PO-934</v>
      </c>
      <c r="D135" t="str">
        <f t="shared" ca="1" si="14"/>
        <v>T-02</v>
      </c>
      <c r="E135">
        <f ca="1">'Purchase Orders '!C135</f>
        <v>1134</v>
      </c>
      <c r="F135">
        <f ca="1">'Purchase Orders '!D135</f>
        <v>495</v>
      </c>
      <c r="G135">
        <f t="shared" ca="1" si="15"/>
        <v>480</v>
      </c>
      <c r="H135">
        <f t="shared" ca="1" si="16"/>
        <v>15</v>
      </c>
      <c r="I135" t="str">
        <f t="shared" ca="1" si="17"/>
        <v>15 units rejected due to transit damage</v>
      </c>
    </row>
    <row r="136" spans="1:9" x14ac:dyDescent="0.3">
      <c r="A136" t="s">
        <v>621</v>
      </c>
      <c r="B136" s="1" t="str">
        <f t="shared" ca="1" si="12"/>
        <v>2026-06-25</v>
      </c>
      <c r="C136" t="str">
        <f t="shared" si="13"/>
        <v>PO-935</v>
      </c>
      <c r="D136" t="str">
        <f t="shared" ca="1" si="14"/>
        <v>T-03</v>
      </c>
      <c r="E136">
        <f ca="1">'Purchase Orders '!C136</f>
        <v>1246</v>
      </c>
      <c r="F136">
        <f ca="1">'Purchase Orders '!D136</f>
        <v>661</v>
      </c>
      <c r="G136">
        <f t="shared" ca="1" si="15"/>
        <v>661</v>
      </c>
      <c r="H136">
        <f t="shared" ca="1" si="16"/>
        <v>0</v>
      </c>
      <c r="I136" t="str">
        <f t="shared" ca="1" si="17"/>
        <v>All items passed inspection</v>
      </c>
    </row>
    <row r="137" spans="1:9" x14ac:dyDescent="0.3">
      <c r="A137" t="s">
        <v>622</v>
      </c>
      <c r="B137" s="1" t="str">
        <f t="shared" ca="1" si="12"/>
        <v>2026-06-25</v>
      </c>
      <c r="C137" t="str">
        <f t="shared" si="13"/>
        <v>PO-936</v>
      </c>
      <c r="D137" t="str">
        <f t="shared" ca="1" si="14"/>
        <v>T-05</v>
      </c>
      <c r="E137">
        <f ca="1">'Purchase Orders '!C137</f>
        <v>1166</v>
      </c>
      <c r="F137">
        <f ca="1">'Purchase Orders '!D137</f>
        <v>455</v>
      </c>
      <c r="G137">
        <f t="shared" ca="1" si="15"/>
        <v>437</v>
      </c>
      <c r="H137">
        <f t="shared" ca="1" si="16"/>
        <v>18</v>
      </c>
      <c r="I137" t="str">
        <f t="shared" ca="1" si="17"/>
        <v>18 units rejected due to transit damage</v>
      </c>
    </row>
    <row r="138" spans="1:9" x14ac:dyDescent="0.3">
      <c r="A138" t="s">
        <v>623</v>
      </c>
      <c r="B138" s="1" t="str">
        <f t="shared" ca="1" si="12"/>
        <v>2026-06-24</v>
      </c>
      <c r="C138" t="str">
        <f t="shared" si="13"/>
        <v>PO-937</v>
      </c>
      <c r="D138" t="str">
        <f t="shared" ca="1" si="14"/>
        <v>T-05</v>
      </c>
      <c r="E138">
        <f ca="1">'Purchase Orders '!C138</f>
        <v>1003</v>
      </c>
      <c r="F138">
        <f ca="1">'Purchase Orders '!D138</f>
        <v>250</v>
      </c>
      <c r="G138">
        <f t="shared" ca="1" si="15"/>
        <v>245</v>
      </c>
      <c r="H138">
        <f t="shared" ca="1" si="16"/>
        <v>5</v>
      </c>
      <c r="I138" t="str">
        <f t="shared" ca="1" si="17"/>
        <v>5 units rejected due to transit damage</v>
      </c>
    </row>
    <row r="139" spans="1:9" x14ac:dyDescent="0.3">
      <c r="A139" t="s">
        <v>624</v>
      </c>
      <c r="B139" s="1" t="str">
        <f t="shared" ca="1" si="12"/>
        <v>2026-06-20</v>
      </c>
      <c r="C139" t="str">
        <f t="shared" si="13"/>
        <v>PO-938</v>
      </c>
      <c r="D139" t="str">
        <f t="shared" ca="1" si="14"/>
        <v>T-03</v>
      </c>
      <c r="E139">
        <f ca="1">'Purchase Orders '!C139</f>
        <v>1226</v>
      </c>
      <c r="F139">
        <f ca="1">'Purchase Orders '!D139</f>
        <v>679</v>
      </c>
      <c r="G139">
        <f t="shared" ca="1" si="15"/>
        <v>659</v>
      </c>
      <c r="H139">
        <f t="shared" ca="1" si="16"/>
        <v>20</v>
      </c>
      <c r="I139" t="str">
        <f t="shared" ca="1" si="17"/>
        <v>20 units rejected due to transit damage</v>
      </c>
    </row>
    <row r="140" spans="1:9" x14ac:dyDescent="0.3">
      <c r="A140" t="s">
        <v>625</v>
      </c>
      <c r="B140" s="1" t="str">
        <f t="shared" ca="1" si="12"/>
        <v>2026-06-23</v>
      </c>
      <c r="C140" t="str">
        <f t="shared" si="13"/>
        <v>PO-939</v>
      </c>
      <c r="D140" t="str">
        <f t="shared" ca="1" si="14"/>
        <v>T-01</v>
      </c>
      <c r="E140">
        <f ca="1">'Purchase Orders '!C140</f>
        <v>1145</v>
      </c>
      <c r="F140">
        <f ca="1">'Purchase Orders '!D140</f>
        <v>230</v>
      </c>
      <c r="G140">
        <f t="shared" ca="1" si="15"/>
        <v>228</v>
      </c>
      <c r="H140">
        <f t="shared" ca="1" si="16"/>
        <v>2</v>
      </c>
      <c r="I140" t="str">
        <f t="shared" ca="1" si="17"/>
        <v>2 units rejected due to transit damage</v>
      </c>
    </row>
    <row r="141" spans="1:9" x14ac:dyDescent="0.3">
      <c r="A141" t="s">
        <v>626</v>
      </c>
      <c r="B141" s="1" t="str">
        <f t="shared" ca="1" si="12"/>
        <v>2026-06-19</v>
      </c>
      <c r="C141" t="str">
        <f t="shared" si="13"/>
        <v>PO-940</v>
      </c>
      <c r="D141" t="str">
        <f t="shared" ca="1" si="14"/>
        <v>T-04</v>
      </c>
      <c r="E141">
        <f ca="1">'Purchase Orders '!C141</f>
        <v>1169</v>
      </c>
      <c r="F141">
        <f ca="1">'Purchase Orders '!D141</f>
        <v>165</v>
      </c>
      <c r="G141">
        <f t="shared" ca="1" si="15"/>
        <v>160</v>
      </c>
      <c r="H141">
        <f t="shared" ca="1" si="16"/>
        <v>5</v>
      </c>
      <c r="I141" t="str">
        <f t="shared" ca="1" si="17"/>
        <v>5 units rejected due to transit damage</v>
      </c>
    </row>
    <row r="142" spans="1:9" x14ac:dyDescent="0.3">
      <c r="A142" t="s">
        <v>627</v>
      </c>
      <c r="B142" s="1" t="str">
        <f t="shared" ca="1" si="12"/>
        <v>2026-06-21</v>
      </c>
      <c r="C142" t="str">
        <f t="shared" si="13"/>
        <v>PO-941</v>
      </c>
      <c r="D142" t="str">
        <f t="shared" ca="1" si="14"/>
        <v>T-04</v>
      </c>
      <c r="E142">
        <f ca="1">'Purchase Orders '!C142</f>
        <v>1074</v>
      </c>
      <c r="F142">
        <f ca="1">'Purchase Orders '!D142</f>
        <v>187</v>
      </c>
      <c r="G142">
        <f t="shared" ca="1" si="15"/>
        <v>187</v>
      </c>
      <c r="H142">
        <f t="shared" ca="1" si="16"/>
        <v>0</v>
      </c>
      <c r="I142" t="str">
        <f t="shared" ca="1" si="17"/>
        <v>All items passed inspection</v>
      </c>
    </row>
    <row r="143" spans="1:9" x14ac:dyDescent="0.3">
      <c r="A143" t="s">
        <v>628</v>
      </c>
      <c r="B143" s="1" t="str">
        <f t="shared" ca="1" si="12"/>
        <v>2026-06-20</v>
      </c>
      <c r="C143" t="str">
        <f t="shared" si="13"/>
        <v>PO-942</v>
      </c>
      <c r="D143" t="str">
        <f t="shared" ca="1" si="14"/>
        <v>T-05</v>
      </c>
      <c r="E143">
        <f ca="1">'Purchase Orders '!C143</f>
        <v>1022</v>
      </c>
      <c r="F143">
        <f ca="1">'Purchase Orders '!D143</f>
        <v>654</v>
      </c>
      <c r="G143">
        <f t="shared" ca="1" si="15"/>
        <v>621</v>
      </c>
      <c r="H143">
        <f t="shared" ca="1" si="16"/>
        <v>33</v>
      </c>
      <c r="I143" t="str">
        <f t="shared" ca="1" si="17"/>
        <v>33 units rejected due to transit damage</v>
      </c>
    </row>
    <row r="144" spans="1:9" x14ac:dyDescent="0.3">
      <c r="A144" t="s">
        <v>629</v>
      </c>
      <c r="B144" s="1" t="str">
        <f t="shared" ca="1" si="12"/>
        <v>2026-06-19</v>
      </c>
      <c r="C144" t="str">
        <f t="shared" si="13"/>
        <v>PO-943</v>
      </c>
      <c r="D144" t="str">
        <f t="shared" ca="1" si="14"/>
        <v>T-01</v>
      </c>
      <c r="E144">
        <f ca="1">'Purchase Orders '!C144</f>
        <v>1147</v>
      </c>
      <c r="F144">
        <f ca="1">'Purchase Orders '!D144</f>
        <v>138</v>
      </c>
      <c r="G144">
        <f t="shared" ca="1" si="15"/>
        <v>137</v>
      </c>
      <c r="H144">
        <f t="shared" ca="1" si="16"/>
        <v>1</v>
      </c>
      <c r="I144" t="str">
        <f t="shared" ca="1" si="17"/>
        <v>1 units rejected due to transit damage</v>
      </c>
    </row>
    <row r="145" spans="1:9" x14ac:dyDescent="0.3">
      <c r="A145" t="s">
        <v>630</v>
      </c>
      <c r="B145" s="1" t="str">
        <f t="shared" ca="1" si="12"/>
        <v>2026-06-21</v>
      </c>
      <c r="C145" t="str">
        <f t="shared" si="13"/>
        <v>PO-944</v>
      </c>
      <c r="D145" t="str">
        <f t="shared" ca="1" si="14"/>
        <v>T-03</v>
      </c>
      <c r="E145">
        <f ca="1">'Purchase Orders '!C145</f>
        <v>1120</v>
      </c>
      <c r="F145">
        <f ca="1">'Purchase Orders '!D145</f>
        <v>641</v>
      </c>
      <c r="G145">
        <f t="shared" ca="1" si="15"/>
        <v>609</v>
      </c>
      <c r="H145">
        <f t="shared" ca="1" si="16"/>
        <v>32</v>
      </c>
      <c r="I145" t="str">
        <f t="shared" ca="1" si="17"/>
        <v>32 units rejected due to transit damage</v>
      </c>
    </row>
    <row r="146" spans="1:9" x14ac:dyDescent="0.3">
      <c r="A146" t="s">
        <v>631</v>
      </c>
      <c r="B146" s="1" t="str">
        <f t="shared" ca="1" si="12"/>
        <v>2026-06-18</v>
      </c>
      <c r="C146" t="str">
        <f t="shared" si="13"/>
        <v>PO-945</v>
      </c>
      <c r="D146" t="str">
        <f t="shared" ca="1" si="14"/>
        <v>T-04</v>
      </c>
      <c r="E146">
        <f ca="1">'Purchase Orders '!C146</f>
        <v>1161</v>
      </c>
      <c r="F146">
        <f ca="1">'Purchase Orders '!D146</f>
        <v>413</v>
      </c>
      <c r="G146">
        <f t="shared" ca="1" si="15"/>
        <v>409</v>
      </c>
      <c r="H146">
        <f t="shared" ca="1" si="16"/>
        <v>4</v>
      </c>
      <c r="I146" t="str">
        <f t="shared" ca="1" si="17"/>
        <v>4 units rejected due to transit damage</v>
      </c>
    </row>
    <row r="147" spans="1:9" x14ac:dyDescent="0.3">
      <c r="A147" t="s">
        <v>632</v>
      </c>
      <c r="B147" s="1" t="str">
        <f t="shared" ca="1" si="12"/>
        <v>2026-06-23</v>
      </c>
      <c r="C147" t="str">
        <f t="shared" si="13"/>
        <v>PO-946</v>
      </c>
      <c r="D147" t="str">
        <f t="shared" ca="1" si="14"/>
        <v>T-04</v>
      </c>
      <c r="E147">
        <f ca="1">'Purchase Orders '!C147</f>
        <v>1093</v>
      </c>
      <c r="F147">
        <f ca="1">'Purchase Orders '!D147</f>
        <v>794</v>
      </c>
      <c r="G147">
        <f t="shared" ca="1" si="15"/>
        <v>762</v>
      </c>
      <c r="H147">
        <f t="shared" ca="1" si="16"/>
        <v>32</v>
      </c>
      <c r="I147" t="str">
        <f t="shared" ca="1" si="17"/>
        <v>32 units rejected due to transit damage</v>
      </c>
    </row>
    <row r="148" spans="1:9" x14ac:dyDescent="0.3">
      <c r="A148" t="s">
        <v>633</v>
      </c>
      <c r="B148" s="1" t="str">
        <f t="shared" ca="1" si="12"/>
        <v>2026-06-25</v>
      </c>
      <c r="C148" t="str">
        <f t="shared" si="13"/>
        <v>PO-947</v>
      </c>
      <c r="D148" t="str">
        <f t="shared" ca="1" si="14"/>
        <v>T-03</v>
      </c>
      <c r="E148">
        <f ca="1">'Purchase Orders '!C148</f>
        <v>1139</v>
      </c>
      <c r="F148">
        <f ca="1">'Purchase Orders '!D148</f>
        <v>778</v>
      </c>
      <c r="G148">
        <f t="shared" ca="1" si="15"/>
        <v>770</v>
      </c>
      <c r="H148">
        <f t="shared" ca="1" si="16"/>
        <v>8</v>
      </c>
      <c r="I148" t="str">
        <f t="shared" ca="1" si="17"/>
        <v>8 units rejected due to transit damage</v>
      </c>
    </row>
    <row r="149" spans="1:9" x14ac:dyDescent="0.3">
      <c r="A149" t="s">
        <v>634</v>
      </c>
      <c r="B149" s="1" t="str">
        <f t="shared" ca="1" si="12"/>
        <v>2026-06-19</v>
      </c>
      <c r="C149" t="str">
        <f t="shared" si="13"/>
        <v>PO-948</v>
      </c>
      <c r="D149" t="str">
        <f t="shared" ca="1" si="14"/>
        <v>T-03</v>
      </c>
      <c r="E149">
        <f ca="1">'Purchase Orders '!C149</f>
        <v>1044</v>
      </c>
      <c r="F149">
        <f ca="1">'Purchase Orders '!D149</f>
        <v>164</v>
      </c>
      <c r="G149">
        <f t="shared" ca="1" si="15"/>
        <v>164</v>
      </c>
      <c r="H149">
        <f t="shared" ca="1" si="16"/>
        <v>0</v>
      </c>
      <c r="I149" t="str">
        <f t="shared" ca="1" si="17"/>
        <v>All items passed inspection</v>
      </c>
    </row>
    <row r="150" spans="1:9" x14ac:dyDescent="0.3">
      <c r="A150" t="s">
        <v>635</v>
      </c>
      <c r="B150" s="1" t="str">
        <f t="shared" ca="1" si="12"/>
        <v>2026-06-23</v>
      </c>
      <c r="C150" t="str">
        <f t="shared" si="13"/>
        <v>PO-949</v>
      </c>
      <c r="D150" t="str">
        <f t="shared" ca="1" si="14"/>
        <v>T-01</v>
      </c>
      <c r="E150">
        <f ca="1">'Purchase Orders '!C150</f>
        <v>1135</v>
      </c>
      <c r="F150">
        <f ca="1">'Purchase Orders '!D150</f>
        <v>174</v>
      </c>
      <c r="G150">
        <f t="shared" ca="1" si="15"/>
        <v>171</v>
      </c>
      <c r="H150">
        <f t="shared" ca="1" si="16"/>
        <v>3</v>
      </c>
      <c r="I150" t="str">
        <f t="shared" ca="1" si="17"/>
        <v>3 units rejected due to transit damage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FE6A-D413-4F70-BEEA-6A4754B8F861}">
  <dimension ref="A1:E150"/>
  <sheetViews>
    <sheetView workbookViewId="0">
      <selection activeCell="E2" sqref="E2:E150"/>
    </sheetView>
  </sheetViews>
  <sheetFormatPr defaultRowHeight="14.4" x14ac:dyDescent="0.3"/>
  <cols>
    <col min="2" max="2" width="10.33203125" bestFit="1" customWidth="1"/>
    <col min="3" max="3" width="10.6640625" customWidth="1"/>
    <col min="5" max="5" width="20.44140625" customWidth="1"/>
  </cols>
  <sheetData>
    <row r="1" spans="1:5" x14ac:dyDescent="0.3">
      <c r="A1" t="s">
        <v>30</v>
      </c>
      <c r="B1" t="s">
        <v>31</v>
      </c>
      <c r="C1" t="s">
        <v>16</v>
      </c>
      <c r="D1" t="s">
        <v>32</v>
      </c>
      <c r="E1" t="s">
        <v>33</v>
      </c>
    </row>
    <row r="2" spans="1:5" x14ac:dyDescent="0.3">
      <c r="A2" t="s">
        <v>34</v>
      </c>
      <c r="B2" s="1" t="str">
        <f ca="1">"2026-06-" &amp; RANDBETWEEN(20,30)</f>
        <v>2026-06-20</v>
      </c>
      <c r="C2">
        <f ca="1">RANDBETWEEN(1001,1275)</f>
        <v>1108</v>
      </c>
      <c r="D2">
        <f ca="1">RANDBETWEEN(10,80)</f>
        <v>27</v>
      </c>
      <c r="E2" t="str">
        <f ca="1">CHOOSE(RANDBETWEEN(1,3), "Assembly Line A", "Fabrication Unit B", "Processing Cell C")</f>
        <v>Processing Cell C</v>
      </c>
    </row>
    <row r="3" spans="1:5" x14ac:dyDescent="0.3">
      <c r="A3" t="s">
        <v>636</v>
      </c>
      <c r="B3" s="1" t="str">
        <f t="shared" ref="B3:B66" ca="1" si="0">"2026-06-" &amp; RANDBETWEEN(20,30)</f>
        <v>2026-06-27</v>
      </c>
      <c r="C3">
        <f t="shared" ref="C3:C66" ca="1" si="1">RANDBETWEEN(1001,1275)</f>
        <v>1248</v>
      </c>
      <c r="D3">
        <f t="shared" ref="D3:D66" ca="1" si="2">RANDBETWEEN(10,80)</f>
        <v>32</v>
      </c>
      <c r="E3" t="str">
        <f t="shared" ref="E3:E66" ca="1" si="3">CHOOSE(RANDBETWEEN(1,3), "Assembly Line A", "Fabrication Unit B", "Processing Cell C")</f>
        <v>Fabrication Unit B</v>
      </c>
    </row>
    <row r="4" spans="1:5" x14ac:dyDescent="0.3">
      <c r="A4" t="s">
        <v>637</v>
      </c>
      <c r="B4" s="1" t="str">
        <f t="shared" ca="1" si="0"/>
        <v>2026-06-26</v>
      </c>
      <c r="C4">
        <f t="shared" ca="1" si="1"/>
        <v>1081</v>
      </c>
      <c r="D4">
        <f t="shared" ca="1" si="2"/>
        <v>37</v>
      </c>
      <c r="E4" t="str">
        <f t="shared" ca="1" si="3"/>
        <v>Processing Cell C</v>
      </c>
    </row>
    <row r="5" spans="1:5" x14ac:dyDescent="0.3">
      <c r="A5" t="s">
        <v>638</v>
      </c>
      <c r="B5" s="1" t="str">
        <f t="shared" ca="1" si="0"/>
        <v>2026-06-26</v>
      </c>
      <c r="C5">
        <f t="shared" ca="1" si="1"/>
        <v>1213</v>
      </c>
      <c r="D5">
        <f t="shared" ca="1" si="2"/>
        <v>69</v>
      </c>
      <c r="E5" t="str">
        <f t="shared" ca="1" si="3"/>
        <v>Fabrication Unit B</v>
      </c>
    </row>
    <row r="6" spans="1:5" x14ac:dyDescent="0.3">
      <c r="A6" t="s">
        <v>639</v>
      </c>
      <c r="B6" s="1" t="str">
        <f t="shared" ca="1" si="0"/>
        <v>2026-06-28</v>
      </c>
      <c r="C6">
        <f t="shared" ca="1" si="1"/>
        <v>1165</v>
      </c>
      <c r="D6">
        <f t="shared" ca="1" si="2"/>
        <v>30</v>
      </c>
      <c r="E6" t="str">
        <f t="shared" ca="1" si="3"/>
        <v>Processing Cell C</v>
      </c>
    </row>
    <row r="7" spans="1:5" x14ac:dyDescent="0.3">
      <c r="A7" t="s">
        <v>640</v>
      </c>
      <c r="B7" s="1" t="str">
        <f t="shared" ca="1" si="0"/>
        <v>2026-06-22</v>
      </c>
      <c r="C7">
        <f t="shared" ca="1" si="1"/>
        <v>1041</v>
      </c>
      <c r="D7">
        <f t="shared" ca="1" si="2"/>
        <v>33</v>
      </c>
      <c r="E7" t="str">
        <f t="shared" ca="1" si="3"/>
        <v>Assembly Line A</v>
      </c>
    </row>
    <row r="8" spans="1:5" x14ac:dyDescent="0.3">
      <c r="A8" t="s">
        <v>641</v>
      </c>
      <c r="B8" s="1" t="str">
        <f t="shared" ca="1" si="0"/>
        <v>2026-06-27</v>
      </c>
      <c r="C8">
        <f t="shared" ca="1" si="1"/>
        <v>1093</v>
      </c>
      <c r="D8">
        <f t="shared" ca="1" si="2"/>
        <v>67</v>
      </c>
      <c r="E8" t="str">
        <f t="shared" ca="1" si="3"/>
        <v>Fabrication Unit B</v>
      </c>
    </row>
    <row r="9" spans="1:5" x14ac:dyDescent="0.3">
      <c r="A9" t="s">
        <v>642</v>
      </c>
      <c r="B9" s="1" t="str">
        <f t="shared" ca="1" si="0"/>
        <v>2026-06-30</v>
      </c>
      <c r="C9">
        <f t="shared" ca="1" si="1"/>
        <v>1121</v>
      </c>
      <c r="D9">
        <f t="shared" ca="1" si="2"/>
        <v>60</v>
      </c>
      <c r="E9" t="str">
        <f t="shared" ca="1" si="3"/>
        <v>Fabrication Unit B</v>
      </c>
    </row>
    <row r="10" spans="1:5" x14ac:dyDescent="0.3">
      <c r="A10" t="s">
        <v>643</v>
      </c>
      <c r="B10" s="1" t="str">
        <f t="shared" ca="1" si="0"/>
        <v>2026-06-22</v>
      </c>
      <c r="C10">
        <f t="shared" ca="1" si="1"/>
        <v>1001</v>
      </c>
      <c r="D10">
        <f t="shared" ca="1" si="2"/>
        <v>60</v>
      </c>
      <c r="E10" t="str">
        <f t="shared" ca="1" si="3"/>
        <v>Assembly Line A</v>
      </c>
    </row>
    <row r="11" spans="1:5" x14ac:dyDescent="0.3">
      <c r="A11" t="s">
        <v>644</v>
      </c>
      <c r="B11" s="1" t="str">
        <f t="shared" ca="1" si="0"/>
        <v>2026-06-20</v>
      </c>
      <c r="C11">
        <f t="shared" ca="1" si="1"/>
        <v>1033</v>
      </c>
      <c r="D11">
        <f t="shared" ca="1" si="2"/>
        <v>16</v>
      </c>
      <c r="E11" t="str">
        <f t="shared" ca="1" si="3"/>
        <v>Processing Cell C</v>
      </c>
    </row>
    <row r="12" spans="1:5" x14ac:dyDescent="0.3">
      <c r="A12" t="s">
        <v>645</v>
      </c>
      <c r="B12" s="1" t="str">
        <f t="shared" ca="1" si="0"/>
        <v>2026-06-30</v>
      </c>
      <c r="C12">
        <f t="shared" ca="1" si="1"/>
        <v>1179</v>
      </c>
      <c r="D12">
        <f t="shared" ca="1" si="2"/>
        <v>27</v>
      </c>
      <c r="E12" t="str">
        <f t="shared" ca="1" si="3"/>
        <v>Assembly Line A</v>
      </c>
    </row>
    <row r="13" spans="1:5" x14ac:dyDescent="0.3">
      <c r="A13" t="s">
        <v>646</v>
      </c>
      <c r="B13" s="1" t="str">
        <f t="shared" ca="1" si="0"/>
        <v>2026-06-26</v>
      </c>
      <c r="C13">
        <f t="shared" ca="1" si="1"/>
        <v>1116</v>
      </c>
      <c r="D13">
        <f t="shared" ca="1" si="2"/>
        <v>15</v>
      </c>
      <c r="E13" t="str">
        <f t="shared" ca="1" si="3"/>
        <v>Processing Cell C</v>
      </c>
    </row>
    <row r="14" spans="1:5" x14ac:dyDescent="0.3">
      <c r="A14" t="s">
        <v>647</v>
      </c>
      <c r="B14" s="1" t="str">
        <f t="shared" ca="1" si="0"/>
        <v>2026-06-27</v>
      </c>
      <c r="C14">
        <f t="shared" ca="1" si="1"/>
        <v>1021</v>
      </c>
      <c r="D14">
        <f t="shared" ca="1" si="2"/>
        <v>54</v>
      </c>
      <c r="E14" t="str">
        <f t="shared" ca="1" si="3"/>
        <v>Fabrication Unit B</v>
      </c>
    </row>
    <row r="15" spans="1:5" x14ac:dyDescent="0.3">
      <c r="A15" t="s">
        <v>648</v>
      </c>
      <c r="B15" s="1" t="str">
        <f t="shared" ca="1" si="0"/>
        <v>2026-06-26</v>
      </c>
      <c r="C15">
        <f t="shared" ca="1" si="1"/>
        <v>1058</v>
      </c>
      <c r="D15">
        <f t="shared" ca="1" si="2"/>
        <v>29</v>
      </c>
      <c r="E15" t="str">
        <f t="shared" ca="1" si="3"/>
        <v>Assembly Line A</v>
      </c>
    </row>
    <row r="16" spans="1:5" x14ac:dyDescent="0.3">
      <c r="A16" t="s">
        <v>649</v>
      </c>
      <c r="B16" s="1" t="str">
        <f t="shared" ca="1" si="0"/>
        <v>2026-06-22</v>
      </c>
      <c r="C16">
        <f t="shared" ca="1" si="1"/>
        <v>1114</v>
      </c>
      <c r="D16">
        <f t="shared" ca="1" si="2"/>
        <v>55</v>
      </c>
      <c r="E16" t="str">
        <f t="shared" ca="1" si="3"/>
        <v>Processing Cell C</v>
      </c>
    </row>
    <row r="17" spans="1:5" x14ac:dyDescent="0.3">
      <c r="A17" t="s">
        <v>650</v>
      </c>
      <c r="B17" s="1" t="str">
        <f t="shared" ca="1" si="0"/>
        <v>2026-06-23</v>
      </c>
      <c r="C17">
        <f t="shared" ca="1" si="1"/>
        <v>1004</v>
      </c>
      <c r="D17">
        <f t="shared" ca="1" si="2"/>
        <v>17</v>
      </c>
      <c r="E17" t="str">
        <f t="shared" ca="1" si="3"/>
        <v>Assembly Line A</v>
      </c>
    </row>
    <row r="18" spans="1:5" x14ac:dyDescent="0.3">
      <c r="A18" t="s">
        <v>651</v>
      </c>
      <c r="B18" s="1" t="str">
        <f t="shared" ca="1" si="0"/>
        <v>2026-06-20</v>
      </c>
      <c r="C18">
        <f t="shared" ca="1" si="1"/>
        <v>1182</v>
      </c>
      <c r="D18">
        <f t="shared" ca="1" si="2"/>
        <v>39</v>
      </c>
      <c r="E18" t="str">
        <f t="shared" ca="1" si="3"/>
        <v>Assembly Line A</v>
      </c>
    </row>
    <row r="19" spans="1:5" x14ac:dyDescent="0.3">
      <c r="A19" t="s">
        <v>652</v>
      </c>
      <c r="B19" s="1" t="str">
        <f t="shared" ca="1" si="0"/>
        <v>2026-06-20</v>
      </c>
      <c r="C19">
        <f t="shared" ca="1" si="1"/>
        <v>1063</v>
      </c>
      <c r="D19">
        <f t="shared" ca="1" si="2"/>
        <v>72</v>
      </c>
      <c r="E19" t="str">
        <f t="shared" ca="1" si="3"/>
        <v>Assembly Line A</v>
      </c>
    </row>
    <row r="20" spans="1:5" x14ac:dyDescent="0.3">
      <c r="A20" t="s">
        <v>653</v>
      </c>
      <c r="B20" s="1" t="str">
        <f t="shared" ca="1" si="0"/>
        <v>2026-06-26</v>
      </c>
      <c r="C20">
        <f t="shared" ca="1" si="1"/>
        <v>1042</v>
      </c>
      <c r="D20">
        <f t="shared" ca="1" si="2"/>
        <v>10</v>
      </c>
      <c r="E20" t="str">
        <f t="shared" ca="1" si="3"/>
        <v>Processing Cell C</v>
      </c>
    </row>
    <row r="21" spans="1:5" x14ac:dyDescent="0.3">
      <c r="A21" t="s">
        <v>654</v>
      </c>
      <c r="B21" s="1" t="str">
        <f t="shared" ca="1" si="0"/>
        <v>2026-06-26</v>
      </c>
      <c r="C21">
        <f t="shared" ca="1" si="1"/>
        <v>1015</v>
      </c>
      <c r="D21">
        <f t="shared" ca="1" si="2"/>
        <v>72</v>
      </c>
      <c r="E21" t="str">
        <f t="shared" ca="1" si="3"/>
        <v>Processing Cell C</v>
      </c>
    </row>
    <row r="22" spans="1:5" x14ac:dyDescent="0.3">
      <c r="A22" t="s">
        <v>655</v>
      </c>
      <c r="B22" s="1" t="str">
        <f t="shared" ca="1" si="0"/>
        <v>2026-06-29</v>
      </c>
      <c r="C22">
        <f t="shared" ca="1" si="1"/>
        <v>1139</v>
      </c>
      <c r="D22">
        <f t="shared" ca="1" si="2"/>
        <v>73</v>
      </c>
      <c r="E22" t="str">
        <f t="shared" ca="1" si="3"/>
        <v>Processing Cell C</v>
      </c>
    </row>
    <row r="23" spans="1:5" x14ac:dyDescent="0.3">
      <c r="A23" t="s">
        <v>656</v>
      </c>
      <c r="B23" s="1" t="str">
        <f t="shared" ca="1" si="0"/>
        <v>2026-06-24</v>
      </c>
      <c r="C23">
        <f t="shared" ca="1" si="1"/>
        <v>1240</v>
      </c>
      <c r="D23">
        <f t="shared" ca="1" si="2"/>
        <v>36</v>
      </c>
      <c r="E23" t="str">
        <f t="shared" ca="1" si="3"/>
        <v>Assembly Line A</v>
      </c>
    </row>
    <row r="24" spans="1:5" x14ac:dyDescent="0.3">
      <c r="A24" t="s">
        <v>657</v>
      </c>
      <c r="B24" s="1" t="str">
        <f t="shared" ca="1" si="0"/>
        <v>2026-06-29</v>
      </c>
      <c r="C24">
        <f t="shared" ca="1" si="1"/>
        <v>1181</v>
      </c>
      <c r="D24">
        <f t="shared" ca="1" si="2"/>
        <v>22</v>
      </c>
      <c r="E24" t="str">
        <f t="shared" ca="1" si="3"/>
        <v>Assembly Line A</v>
      </c>
    </row>
    <row r="25" spans="1:5" x14ac:dyDescent="0.3">
      <c r="A25" t="s">
        <v>658</v>
      </c>
      <c r="B25" s="1" t="str">
        <f t="shared" ca="1" si="0"/>
        <v>2026-06-24</v>
      </c>
      <c r="C25">
        <f t="shared" ca="1" si="1"/>
        <v>1025</v>
      </c>
      <c r="D25">
        <f t="shared" ca="1" si="2"/>
        <v>74</v>
      </c>
      <c r="E25" t="str">
        <f t="shared" ca="1" si="3"/>
        <v>Fabrication Unit B</v>
      </c>
    </row>
    <row r="26" spans="1:5" x14ac:dyDescent="0.3">
      <c r="A26" t="s">
        <v>659</v>
      </c>
      <c r="B26" s="1" t="str">
        <f t="shared" ca="1" si="0"/>
        <v>2026-06-26</v>
      </c>
      <c r="C26">
        <f t="shared" ca="1" si="1"/>
        <v>1177</v>
      </c>
      <c r="D26">
        <f t="shared" ca="1" si="2"/>
        <v>79</v>
      </c>
      <c r="E26" t="str">
        <f t="shared" ca="1" si="3"/>
        <v>Assembly Line A</v>
      </c>
    </row>
    <row r="27" spans="1:5" x14ac:dyDescent="0.3">
      <c r="A27" t="s">
        <v>660</v>
      </c>
      <c r="B27" s="1" t="str">
        <f t="shared" ca="1" si="0"/>
        <v>2026-06-26</v>
      </c>
      <c r="C27">
        <f t="shared" ca="1" si="1"/>
        <v>1012</v>
      </c>
      <c r="D27">
        <f t="shared" ca="1" si="2"/>
        <v>53</v>
      </c>
      <c r="E27" t="str">
        <f t="shared" ca="1" si="3"/>
        <v>Assembly Line A</v>
      </c>
    </row>
    <row r="28" spans="1:5" x14ac:dyDescent="0.3">
      <c r="A28" t="s">
        <v>661</v>
      </c>
      <c r="B28" s="1" t="str">
        <f t="shared" ca="1" si="0"/>
        <v>2026-06-26</v>
      </c>
      <c r="C28">
        <f t="shared" ca="1" si="1"/>
        <v>1067</v>
      </c>
      <c r="D28">
        <f t="shared" ca="1" si="2"/>
        <v>48</v>
      </c>
      <c r="E28" t="str">
        <f t="shared" ca="1" si="3"/>
        <v>Assembly Line A</v>
      </c>
    </row>
    <row r="29" spans="1:5" x14ac:dyDescent="0.3">
      <c r="A29" t="s">
        <v>662</v>
      </c>
      <c r="B29" s="1" t="str">
        <f t="shared" ca="1" si="0"/>
        <v>2026-06-28</v>
      </c>
      <c r="C29">
        <f t="shared" ca="1" si="1"/>
        <v>1057</v>
      </c>
      <c r="D29">
        <f t="shared" ca="1" si="2"/>
        <v>80</v>
      </c>
      <c r="E29" t="str">
        <f t="shared" ca="1" si="3"/>
        <v>Assembly Line A</v>
      </c>
    </row>
    <row r="30" spans="1:5" x14ac:dyDescent="0.3">
      <c r="A30" t="s">
        <v>663</v>
      </c>
      <c r="B30" s="1" t="str">
        <f t="shared" ca="1" si="0"/>
        <v>2026-06-27</v>
      </c>
      <c r="C30">
        <f t="shared" ca="1" si="1"/>
        <v>1183</v>
      </c>
      <c r="D30">
        <f t="shared" ca="1" si="2"/>
        <v>21</v>
      </c>
      <c r="E30" t="str">
        <f t="shared" ca="1" si="3"/>
        <v>Assembly Line A</v>
      </c>
    </row>
    <row r="31" spans="1:5" x14ac:dyDescent="0.3">
      <c r="A31" t="s">
        <v>664</v>
      </c>
      <c r="B31" s="1" t="str">
        <f t="shared" ca="1" si="0"/>
        <v>2026-06-24</v>
      </c>
      <c r="C31">
        <f t="shared" ca="1" si="1"/>
        <v>1133</v>
      </c>
      <c r="D31">
        <f t="shared" ca="1" si="2"/>
        <v>63</v>
      </c>
      <c r="E31" t="str">
        <f t="shared" ca="1" si="3"/>
        <v>Assembly Line A</v>
      </c>
    </row>
    <row r="32" spans="1:5" x14ac:dyDescent="0.3">
      <c r="A32" t="s">
        <v>665</v>
      </c>
      <c r="B32" s="1" t="str">
        <f t="shared" ca="1" si="0"/>
        <v>2026-06-26</v>
      </c>
      <c r="C32">
        <f t="shared" ca="1" si="1"/>
        <v>1004</v>
      </c>
      <c r="D32">
        <f t="shared" ca="1" si="2"/>
        <v>54</v>
      </c>
      <c r="E32" t="str">
        <f t="shared" ca="1" si="3"/>
        <v>Assembly Line A</v>
      </c>
    </row>
    <row r="33" spans="1:5" x14ac:dyDescent="0.3">
      <c r="A33" t="s">
        <v>666</v>
      </c>
      <c r="B33" s="1" t="str">
        <f t="shared" ca="1" si="0"/>
        <v>2026-06-28</v>
      </c>
      <c r="C33">
        <f t="shared" ca="1" si="1"/>
        <v>1253</v>
      </c>
      <c r="D33">
        <f t="shared" ca="1" si="2"/>
        <v>75</v>
      </c>
      <c r="E33" t="str">
        <f t="shared" ca="1" si="3"/>
        <v>Processing Cell C</v>
      </c>
    </row>
    <row r="34" spans="1:5" x14ac:dyDescent="0.3">
      <c r="A34" t="s">
        <v>667</v>
      </c>
      <c r="B34" s="1" t="str">
        <f t="shared" ca="1" si="0"/>
        <v>2026-06-24</v>
      </c>
      <c r="C34">
        <f t="shared" ca="1" si="1"/>
        <v>1187</v>
      </c>
      <c r="D34">
        <f t="shared" ca="1" si="2"/>
        <v>61</v>
      </c>
      <c r="E34" t="str">
        <f t="shared" ca="1" si="3"/>
        <v>Processing Cell C</v>
      </c>
    </row>
    <row r="35" spans="1:5" x14ac:dyDescent="0.3">
      <c r="A35" t="s">
        <v>668</v>
      </c>
      <c r="B35" s="1" t="str">
        <f t="shared" ca="1" si="0"/>
        <v>2026-06-25</v>
      </c>
      <c r="C35">
        <f t="shared" ca="1" si="1"/>
        <v>1157</v>
      </c>
      <c r="D35">
        <f t="shared" ca="1" si="2"/>
        <v>43</v>
      </c>
      <c r="E35" t="str">
        <f t="shared" ca="1" si="3"/>
        <v>Fabrication Unit B</v>
      </c>
    </row>
    <row r="36" spans="1:5" x14ac:dyDescent="0.3">
      <c r="A36" t="s">
        <v>669</v>
      </c>
      <c r="B36" s="1" t="str">
        <f t="shared" ca="1" si="0"/>
        <v>2026-06-28</v>
      </c>
      <c r="C36">
        <f t="shared" ca="1" si="1"/>
        <v>1082</v>
      </c>
      <c r="D36">
        <f t="shared" ca="1" si="2"/>
        <v>28</v>
      </c>
      <c r="E36" t="str">
        <f t="shared" ca="1" si="3"/>
        <v>Assembly Line A</v>
      </c>
    </row>
    <row r="37" spans="1:5" x14ac:dyDescent="0.3">
      <c r="A37" t="s">
        <v>670</v>
      </c>
      <c r="B37" s="1" t="str">
        <f t="shared" ca="1" si="0"/>
        <v>2026-06-24</v>
      </c>
      <c r="C37">
        <f t="shared" ca="1" si="1"/>
        <v>1099</v>
      </c>
      <c r="D37">
        <f t="shared" ca="1" si="2"/>
        <v>60</v>
      </c>
      <c r="E37" t="str">
        <f t="shared" ca="1" si="3"/>
        <v>Fabrication Unit B</v>
      </c>
    </row>
    <row r="38" spans="1:5" x14ac:dyDescent="0.3">
      <c r="A38" t="s">
        <v>671</v>
      </c>
      <c r="B38" s="1" t="str">
        <f t="shared" ca="1" si="0"/>
        <v>2026-06-20</v>
      </c>
      <c r="C38">
        <f t="shared" ca="1" si="1"/>
        <v>1144</v>
      </c>
      <c r="D38">
        <f t="shared" ca="1" si="2"/>
        <v>23</v>
      </c>
      <c r="E38" t="str">
        <f t="shared" ca="1" si="3"/>
        <v>Fabrication Unit B</v>
      </c>
    </row>
    <row r="39" spans="1:5" x14ac:dyDescent="0.3">
      <c r="A39" t="s">
        <v>672</v>
      </c>
      <c r="B39" s="1" t="str">
        <f t="shared" ca="1" si="0"/>
        <v>2026-06-23</v>
      </c>
      <c r="C39">
        <f t="shared" ca="1" si="1"/>
        <v>1272</v>
      </c>
      <c r="D39">
        <f t="shared" ca="1" si="2"/>
        <v>55</v>
      </c>
      <c r="E39" t="str">
        <f t="shared" ca="1" si="3"/>
        <v>Assembly Line A</v>
      </c>
    </row>
    <row r="40" spans="1:5" x14ac:dyDescent="0.3">
      <c r="A40" t="s">
        <v>673</v>
      </c>
      <c r="B40" s="1" t="str">
        <f t="shared" ca="1" si="0"/>
        <v>2026-06-28</v>
      </c>
      <c r="C40">
        <f t="shared" ca="1" si="1"/>
        <v>1184</v>
      </c>
      <c r="D40">
        <f t="shared" ca="1" si="2"/>
        <v>31</v>
      </c>
      <c r="E40" t="str">
        <f t="shared" ca="1" si="3"/>
        <v>Processing Cell C</v>
      </c>
    </row>
    <row r="41" spans="1:5" x14ac:dyDescent="0.3">
      <c r="A41" t="s">
        <v>674</v>
      </c>
      <c r="B41" s="1" t="str">
        <f t="shared" ca="1" si="0"/>
        <v>2026-06-30</v>
      </c>
      <c r="C41">
        <f t="shared" ca="1" si="1"/>
        <v>1115</v>
      </c>
      <c r="D41">
        <f t="shared" ca="1" si="2"/>
        <v>35</v>
      </c>
      <c r="E41" t="str">
        <f t="shared" ca="1" si="3"/>
        <v>Assembly Line A</v>
      </c>
    </row>
    <row r="42" spans="1:5" x14ac:dyDescent="0.3">
      <c r="A42" t="s">
        <v>675</v>
      </c>
      <c r="B42" s="1" t="str">
        <f t="shared" ca="1" si="0"/>
        <v>2026-06-23</v>
      </c>
      <c r="C42">
        <f t="shared" ca="1" si="1"/>
        <v>1149</v>
      </c>
      <c r="D42">
        <f t="shared" ca="1" si="2"/>
        <v>52</v>
      </c>
      <c r="E42" t="str">
        <f t="shared" ca="1" si="3"/>
        <v>Fabrication Unit B</v>
      </c>
    </row>
    <row r="43" spans="1:5" x14ac:dyDescent="0.3">
      <c r="A43" t="s">
        <v>676</v>
      </c>
      <c r="B43" s="1" t="str">
        <f t="shared" ca="1" si="0"/>
        <v>2026-06-25</v>
      </c>
      <c r="C43">
        <f t="shared" ca="1" si="1"/>
        <v>1193</v>
      </c>
      <c r="D43">
        <f t="shared" ca="1" si="2"/>
        <v>29</v>
      </c>
      <c r="E43" t="str">
        <f t="shared" ca="1" si="3"/>
        <v>Fabrication Unit B</v>
      </c>
    </row>
    <row r="44" spans="1:5" x14ac:dyDescent="0.3">
      <c r="A44" t="s">
        <v>677</v>
      </c>
      <c r="B44" s="1" t="str">
        <f t="shared" ca="1" si="0"/>
        <v>2026-06-25</v>
      </c>
      <c r="C44">
        <f t="shared" ca="1" si="1"/>
        <v>1008</v>
      </c>
      <c r="D44">
        <f t="shared" ca="1" si="2"/>
        <v>57</v>
      </c>
      <c r="E44" t="str">
        <f t="shared" ca="1" si="3"/>
        <v>Fabrication Unit B</v>
      </c>
    </row>
    <row r="45" spans="1:5" x14ac:dyDescent="0.3">
      <c r="A45" t="s">
        <v>678</v>
      </c>
      <c r="B45" s="1" t="str">
        <f t="shared" ca="1" si="0"/>
        <v>2026-06-22</v>
      </c>
      <c r="C45">
        <f t="shared" ca="1" si="1"/>
        <v>1009</v>
      </c>
      <c r="D45">
        <f t="shared" ca="1" si="2"/>
        <v>53</v>
      </c>
      <c r="E45" t="str">
        <f t="shared" ca="1" si="3"/>
        <v>Assembly Line A</v>
      </c>
    </row>
    <row r="46" spans="1:5" x14ac:dyDescent="0.3">
      <c r="A46" t="s">
        <v>679</v>
      </c>
      <c r="B46" s="1" t="str">
        <f t="shared" ca="1" si="0"/>
        <v>2026-06-22</v>
      </c>
      <c r="C46">
        <f t="shared" ca="1" si="1"/>
        <v>1128</v>
      </c>
      <c r="D46">
        <f t="shared" ca="1" si="2"/>
        <v>61</v>
      </c>
      <c r="E46" t="str">
        <f t="shared" ca="1" si="3"/>
        <v>Processing Cell C</v>
      </c>
    </row>
    <row r="47" spans="1:5" x14ac:dyDescent="0.3">
      <c r="A47" t="s">
        <v>680</v>
      </c>
      <c r="B47" s="1" t="str">
        <f t="shared" ca="1" si="0"/>
        <v>2026-06-30</v>
      </c>
      <c r="C47">
        <f t="shared" ca="1" si="1"/>
        <v>1167</v>
      </c>
      <c r="D47">
        <f t="shared" ca="1" si="2"/>
        <v>33</v>
      </c>
      <c r="E47" t="str">
        <f t="shared" ca="1" si="3"/>
        <v>Processing Cell C</v>
      </c>
    </row>
    <row r="48" spans="1:5" x14ac:dyDescent="0.3">
      <c r="A48" t="s">
        <v>681</v>
      </c>
      <c r="B48" s="1" t="str">
        <f t="shared" ca="1" si="0"/>
        <v>2026-06-20</v>
      </c>
      <c r="C48">
        <f t="shared" ca="1" si="1"/>
        <v>1137</v>
      </c>
      <c r="D48">
        <f t="shared" ca="1" si="2"/>
        <v>58</v>
      </c>
      <c r="E48" t="str">
        <f t="shared" ca="1" si="3"/>
        <v>Fabrication Unit B</v>
      </c>
    </row>
    <row r="49" spans="1:5" x14ac:dyDescent="0.3">
      <c r="A49" t="s">
        <v>682</v>
      </c>
      <c r="B49" s="1" t="str">
        <f t="shared" ca="1" si="0"/>
        <v>2026-06-21</v>
      </c>
      <c r="C49">
        <f t="shared" ca="1" si="1"/>
        <v>1181</v>
      </c>
      <c r="D49">
        <f t="shared" ca="1" si="2"/>
        <v>47</v>
      </c>
      <c r="E49" t="str">
        <f t="shared" ca="1" si="3"/>
        <v>Fabrication Unit B</v>
      </c>
    </row>
    <row r="50" spans="1:5" x14ac:dyDescent="0.3">
      <c r="A50" t="s">
        <v>683</v>
      </c>
      <c r="B50" s="1" t="str">
        <f t="shared" ca="1" si="0"/>
        <v>2026-06-30</v>
      </c>
      <c r="C50">
        <f t="shared" ca="1" si="1"/>
        <v>1199</v>
      </c>
      <c r="D50">
        <f t="shared" ca="1" si="2"/>
        <v>28</v>
      </c>
      <c r="E50" t="str">
        <f t="shared" ca="1" si="3"/>
        <v>Assembly Line A</v>
      </c>
    </row>
    <row r="51" spans="1:5" x14ac:dyDescent="0.3">
      <c r="A51" t="s">
        <v>684</v>
      </c>
      <c r="B51" s="1" t="str">
        <f t="shared" ca="1" si="0"/>
        <v>2026-06-28</v>
      </c>
      <c r="C51">
        <f t="shared" ca="1" si="1"/>
        <v>1107</v>
      </c>
      <c r="D51">
        <f t="shared" ca="1" si="2"/>
        <v>50</v>
      </c>
      <c r="E51" t="str">
        <f t="shared" ca="1" si="3"/>
        <v>Assembly Line A</v>
      </c>
    </row>
    <row r="52" spans="1:5" x14ac:dyDescent="0.3">
      <c r="A52" t="s">
        <v>685</v>
      </c>
      <c r="B52" s="1" t="str">
        <f t="shared" ca="1" si="0"/>
        <v>2026-06-25</v>
      </c>
      <c r="C52">
        <f t="shared" ca="1" si="1"/>
        <v>1100</v>
      </c>
      <c r="D52">
        <f t="shared" ca="1" si="2"/>
        <v>54</v>
      </c>
      <c r="E52" t="str">
        <f t="shared" ca="1" si="3"/>
        <v>Assembly Line A</v>
      </c>
    </row>
    <row r="53" spans="1:5" x14ac:dyDescent="0.3">
      <c r="A53" t="s">
        <v>686</v>
      </c>
      <c r="B53" s="1" t="str">
        <f t="shared" ca="1" si="0"/>
        <v>2026-06-27</v>
      </c>
      <c r="C53">
        <f t="shared" ca="1" si="1"/>
        <v>1047</v>
      </c>
      <c r="D53">
        <f t="shared" ca="1" si="2"/>
        <v>67</v>
      </c>
      <c r="E53" t="str">
        <f t="shared" ca="1" si="3"/>
        <v>Fabrication Unit B</v>
      </c>
    </row>
    <row r="54" spans="1:5" x14ac:dyDescent="0.3">
      <c r="A54" t="s">
        <v>687</v>
      </c>
      <c r="B54" s="1" t="str">
        <f t="shared" ca="1" si="0"/>
        <v>2026-06-24</v>
      </c>
      <c r="C54">
        <f t="shared" ca="1" si="1"/>
        <v>1258</v>
      </c>
      <c r="D54">
        <f t="shared" ca="1" si="2"/>
        <v>18</v>
      </c>
      <c r="E54" t="str">
        <f t="shared" ca="1" si="3"/>
        <v>Processing Cell C</v>
      </c>
    </row>
    <row r="55" spans="1:5" x14ac:dyDescent="0.3">
      <c r="A55" t="s">
        <v>688</v>
      </c>
      <c r="B55" s="1" t="str">
        <f t="shared" ca="1" si="0"/>
        <v>2026-06-27</v>
      </c>
      <c r="C55">
        <f t="shared" ca="1" si="1"/>
        <v>1013</v>
      </c>
      <c r="D55">
        <f t="shared" ca="1" si="2"/>
        <v>73</v>
      </c>
      <c r="E55" t="str">
        <f t="shared" ca="1" si="3"/>
        <v>Assembly Line A</v>
      </c>
    </row>
    <row r="56" spans="1:5" x14ac:dyDescent="0.3">
      <c r="A56" t="s">
        <v>689</v>
      </c>
      <c r="B56" s="1" t="str">
        <f t="shared" ca="1" si="0"/>
        <v>2026-06-22</v>
      </c>
      <c r="C56">
        <f t="shared" ca="1" si="1"/>
        <v>1137</v>
      </c>
      <c r="D56">
        <f t="shared" ca="1" si="2"/>
        <v>32</v>
      </c>
      <c r="E56" t="str">
        <f t="shared" ca="1" si="3"/>
        <v>Processing Cell C</v>
      </c>
    </row>
    <row r="57" spans="1:5" x14ac:dyDescent="0.3">
      <c r="A57" t="s">
        <v>690</v>
      </c>
      <c r="B57" s="1" t="str">
        <f t="shared" ca="1" si="0"/>
        <v>2026-06-30</v>
      </c>
      <c r="C57">
        <f t="shared" ca="1" si="1"/>
        <v>1082</v>
      </c>
      <c r="D57">
        <f t="shared" ca="1" si="2"/>
        <v>67</v>
      </c>
      <c r="E57" t="str">
        <f t="shared" ca="1" si="3"/>
        <v>Processing Cell C</v>
      </c>
    </row>
    <row r="58" spans="1:5" x14ac:dyDescent="0.3">
      <c r="A58" t="s">
        <v>691</v>
      </c>
      <c r="B58" s="1" t="str">
        <f t="shared" ca="1" si="0"/>
        <v>2026-06-27</v>
      </c>
      <c r="C58">
        <f t="shared" ca="1" si="1"/>
        <v>1165</v>
      </c>
      <c r="D58">
        <f t="shared" ca="1" si="2"/>
        <v>20</v>
      </c>
      <c r="E58" t="str">
        <f t="shared" ca="1" si="3"/>
        <v>Processing Cell C</v>
      </c>
    </row>
    <row r="59" spans="1:5" x14ac:dyDescent="0.3">
      <c r="A59" t="s">
        <v>692</v>
      </c>
      <c r="B59" s="1" t="str">
        <f t="shared" ca="1" si="0"/>
        <v>2026-06-28</v>
      </c>
      <c r="C59">
        <f t="shared" ca="1" si="1"/>
        <v>1073</v>
      </c>
      <c r="D59">
        <f t="shared" ca="1" si="2"/>
        <v>23</v>
      </c>
      <c r="E59" t="str">
        <f t="shared" ca="1" si="3"/>
        <v>Fabrication Unit B</v>
      </c>
    </row>
    <row r="60" spans="1:5" x14ac:dyDescent="0.3">
      <c r="A60" t="s">
        <v>693</v>
      </c>
      <c r="B60" s="1" t="str">
        <f t="shared" ca="1" si="0"/>
        <v>2026-06-28</v>
      </c>
      <c r="C60">
        <f t="shared" ca="1" si="1"/>
        <v>1013</v>
      </c>
      <c r="D60">
        <f t="shared" ca="1" si="2"/>
        <v>72</v>
      </c>
      <c r="E60" t="str">
        <f t="shared" ca="1" si="3"/>
        <v>Assembly Line A</v>
      </c>
    </row>
    <row r="61" spans="1:5" x14ac:dyDescent="0.3">
      <c r="A61" t="s">
        <v>694</v>
      </c>
      <c r="B61" s="1" t="str">
        <f t="shared" ca="1" si="0"/>
        <v>2026-06-20</v>
      </c>
      <c r="C61">
        <f t="shared" ca="1" si="1"/>
        <v>1011</v>
      </c>
      <c r="D61">
        <f t="shared" ca="1" si="2"/>
        <v>50</v>
      </c>
      <c r="E61" t="str">
        <f t="shared" ca="1" si="3"/>
        <v>Processing Cell C</v>
      </c>
    </row>
    <row r="62" spans="1:5" x14ac:dyDescent="0.3">
      <c r="A62" t="s">
        <v>695</v>
      </c>
      <c r="B62" s="1" t="str">
        <f t="shared" ca="1" si="0"/>
        <v>2026-06-26</v>
      </c>
      <c r="C62">
        <f t="shared" ca="1" si="1"/>
        <v>1114</v>
      </c>
      <c r="D62">
        <f t="shared" ca="1" si="2"/>
        <v>64</v>
      </c>
      <c r="E62" t="str">
        <f t="shared" ca="1" si="3"/>
        <v>Processing Cell C</v>
      </c>
    </row>
    <row r="63" spans="1:5" x14ac:dyDescent="0.3">
      <c r="A63" t="s">
        <v>696</v>
      </c>
      <c r="B63" s="1" t="str">
        <f t="shared" ca="1" si="0"/>
        <v>2026-06-28</v>
      </c>
      <c r="C63">
        <f t="shared" ca="1" si="1"/>
        <v>1122</v>
      </c>
      <c r="D63">
        <f t="shared" ca="1" si="2"/>
        <v>44</v>
      </c>
      <c r="E63" t="str">
        <f t="shared" ca="1" si="3"/>
        <v>Fabrication Unit B</v>
      </c>
    </row>
    <row r="64" spans="1:5" x14ac:dyDescent="0.3">
      <c r="A64" t="s">
        <v>697</v>
      </c>
      <c r="B64" s="1" t="str">
        <f t="shared" ca="1" si="0"/>
        <v>2026-06-28</v>
      </c>
      <c r="C64">
        <f t="shared" ca="1" si="1"/>
        <v>1262</v>
      </c>
      <c r="D64">
        <f t="shared" ca="1" si="2"/>
        <v>45</v>
      </c>
      <c r="E64" t="str">
        <f t="shared" ca="1" si="3"/>
        <v>Assembly Line A</v>
      </c>
    </row>
    <row r="65" spans="1:5" x14ac:dyDescent="0.3">
      <c r="A65" t="s">
        <v>698</v>
      </c>
      <c r="B65" s="1" t="str">
        <f t="shared" ca="1" si="0"/>
        <v>2026-06-23</v>
      </c>
      <c r="C65">
        <f t="shared" ca="1" si="1"/>
        <v>1177</v>
      </c>
      <c r="D65">
        <f t="shared" ca="1" si="2"/>
        <v>43</v>
      </c>
      <c r="E65" t="str">
        <f t="shared" ca="1" si="3"/>
        <v>Processing Cell C</v>
      </c>
    </row>
    <row r="66" spans="1:5" x14ac:dyDescent="0.3">
      <c r="A66" t="s">
        <v>699</v>
      </c>
      <c r="B66" s="1" t="str">
        <f t="shared" ca="1" si="0"/>
        <v>2026-06-29</v>
      </c>
      <c r="C66">
        <f t="shared" ca="1" si="1"/>
        <v>1032</v>
      </c>
      <c r="D66">
        <f t="shared" ca="1" si="2"/>
        <v>45</v>
      </c>
      <c r="E66" t="str">
        <f t="shared" ca="1" si="3"/>
        <v>Processing Cell C</v>
      </c>
    </row>
    <row r="67" spans="1:5" x14ac:dyDescent="0.3">
      <c r="A67" t="s">
        <v>700</v>
      </c>
      <c r="B67" s="1" t="str">
        <f t="shared" ref="B67:B130" ca="1" si="4">"2026-06-" &amp; RANDBETWEEN(20,30)</f>
        <v>2026-06-22</v>
      </c>
      <c r="C67">
        <f t="shared" ref="C67:C130" ca="1" si="5">RANDBETWEEN(1001,1275)</f>
        <v>1149</v>
      </c>
      <c r="D67">
        <f t="shared" ref="D67:D130" ca="1" si="6">RANDBETWEEN(10,80)</f>
        <v>54</v>
      </c>
      <c r="E67" t="str">
        <f t="shared" ref="E67:E130" ca="1" si="7">CHOOSE(RANDBETWEEN(1,3), "Assembly Line A", "Fabrication Unit B", "Processing Cell C")</f>
        <v>Processing Cell C</v>
      </c>
    </row>
    <row r="68" spans="1:5" x14ac:dyDescent="0.3">
      <c r="A68" t="s">
        <v>701</v>
      </c>
      <c r="B68" s="1" t="str">
        <f t="shared" ca="1" si="4"/>
        <v>2026-06-20</v>
      </c>
      <c r="C68">
        <f t="shared" ca="1" si="5"/>
        <v>1225</v>
      </c>
      <c r="D68">
        <f t="shared" ca="1" si="6"/>
        <v>35</v>
      </c>
      <c r="E68" t="str">
        <f t="shared" ca="1" si="7"/>
        <v>Fabrication Unit B</v>
      </c>
    </row>
    <row r="69" spans="1:5" x14ac:dyDescent="0.3">
      <c r="A69" t="s">
        <v>702</v>
      </c>
      <c r="B69" s="1" t="str">
        <f t="shared" ca="1" si="4"/>
        <v>2026-06-28</v>
      </c>
      <c r="C69">
        <f t="shared" ca="1" si="5"/>
        <v>1064</v>
      </c>
      <c r="D69">
        <f t="shared" ca="1" si="6"/>
        <v>65</v>
      </c>
      <c r="E69" t="str">
        <f t="shared" ca="1" si="7"/>
        <v>Fabrication Unit B</v>
      </c>
    </row>
    <row r="70" spans="1:5" x14ac:dyDescent="0.3">
      <c r="A70" t="s">
        <v>703</v>
      </c>
      <c r="B70" s="1" t="str">
        <f t="shared" ca="1" si="4"/>
        <v>2026-06-28</v>
      </c>
      <c r="C70">
        <f t="shared" ca="1" si="5"/>
        <v>1117</v>
      </c>
      <c r="D70">
        <f t="shared" ca="1" si="6"/>
        <v>60</v>
      </c>
      <c r="E70" t="str">
        <f t="shared" ca="1" si="7"/>
        <v>Assembly Line A</v>
      </c>
    </row>
    <row r="71" spans="1:5" x14ac:dyDescent="0.3">
      <c r="A71" t="s">
        <v>704</v>
      </c>
      <c r="B71" s="1" t="str">
        <f t="shared" ca="1" si="4"/>
        <v>2026-06-22</v>
      </c>
      <c r="C71">
        <f t="shared" ca="1" si="5"/>
        <v>1265</v>
      </c>
      <c r="D71">
        <f t="shared" ca="1" si="6"/>
        <v>39</v>
      </c>
      <c r="E71" t="str">
        <f t="shared" ca="1" si="7"/>
        <v>Assembly Line A</v>
      </c>
    </row>
    <row r="72" spans="1:5" x14ac:dyDescent="0.3">
      <c r="A72" t="s">
        <v>705</v>
      </c>
      <c r="B72" s="1" t="str">
        <f t="shared" ca="1" si="4"/>
        <v>2026-06-28</v>
      </c>
      <c r="C72">
        <f t="shared" ca="1" si="5"/>
        <v>1224</v>
      </c>
      <c r="D72">
        <f t="shared" ca="1" si="6"/>
        <v>53</v>
      </c>
      <c r="E72" t="str">
        <f t="shared" ca="1" si="7"/>
        <v>Assembly Line A</v>
      </c>
    </row>
    <row r="73" spans="1:5" x14ac:dyDescent="0.3">
      <c r="A73" t="s">
        <v>706</v>
      </c>
      <c r="B73" s="1" t="str">
        <f t="shared" ca="1" si="4"/>
        <v>2026-06-27</v>
      </c>
      <c r="C73">
        <f t="shared" ca="1" si="5"/>
        <v>1199</v>
      </c>
      <c r="D73">
        <f t="shared" ca="1" si="6"/>
        <v>50</v>
      </c>
      <c r="E73" t="str">
        <f t="shared" ca="1" si="7"/>
        <v>Processing Cell C</v>
      </c>
    </row>
    <row r="74" spans="1:5" x14ac:dyDescent="0.3">
      <c r="A74" t="s">
        <v>707</v>
      </c>
      <c r="B74" s="1" t="str">
        <f t="shared" ca="1" si="4"/>
        <v>2026-06-27</v>
      </c>
      <c r="C74">
        <f t="shared" ca="1" si="5"/>
        <v>1135</v>
      </c>
      <c r="D74">
        <f t="shared" ca="1" si="6"/>
        <v>64</v>
      </c>
      <c r="E74" t="str">
        <f t="shared" ca="1" si="7"/>
        <v>Processing Cell C</v>
      </c>
    </row>
    <row r="75" spans="1:5" x14ac:dyDescent="0.3">
      <c r="A75" t="s">
        <v>708</v>
      </c>
      <c r="B75" s="1" t="str">
        <f t="shared" ca="1" si="4"/>
        <v>2026-06-21</v>
      </c>
      <c r="C75">
        <f t="shared" ca="1" si="5"/>
        <v>1244</v>
      </c>
      <c r="D75">
        <f t="shared" ca="1" si="6"/>
        <v>25</v>
      </c>
      <c r="E75" t="str">
        <f t="shared" ca="1" si="7"/>
        <v>Fabrication Unit B</v>
      </c>
    </row>
    <row r="76" spans="1:5" x14ac:dyDescent="0.3">
      <c r="A76" t="s">
        <v>709</v>
      </c>
      <c r="B76" s="1" t="str">
        <f t="shared" ca="1" si="4"/>
        <v>2026-06-20</v>
      </c>
      <c r="C76">
        <f t="shared" ca="1" si="5"/>
        <v>1093</v>
      </c>
      <c r="D76">
        <f t="shared" ca="1" si="6"/>
        <v>20</v>
      </c>
      <c r="E76" t="str">
        <f t="shared" ca="1" si="7"/>
        <v>Fabrication Unit B</v>
      </c>
    </row>
    <row r="77" spans="1:5" x14ac:dyDescent="0.3">
      <c r="A77" t="s">
        <v>710</v>
      </c>
      <c r="B77" s="1" t="str">
        <f t="shared" ca="1" si="4"/>
        <v>2026-06-23</v>
      </c>
      <c r="C77">
        <f t="shared" ca="1" si="5"/>
        <v>1020</v>
      </c>
      <c r="D77">
        <f t="shared" ca="1" si="6"/>
        <v>50</v>
      </c>
      <c r="E77" t="str">
        <f t="shared" ca="1" si="7"/>
        <v>Processing Cell C</v>
      </c>
    </row>
    <row r="78" spans="1:5" x14ac:dyDescent="0.3">
      <c r="A78" t="s">
        <v>711</v>
      </c>
      <c r="B78" s="1" t="str">
        <f t="shared" ca="1" si="4"/>
        <v>2026-06-30</v>
      </c>
      <c r="C78">
        <f t="shared" ca="1" si="5"/>
        <v>1076</v>
      </c>
      <c r="D78">
        <f t="shared" ca="1" si="6"/>
        <v>76</v>
      </c>
      <c r="E78" t="str">
        <f t="shared" ca="1" si="7"/>
        <v>Assembly Line A</v>
      </c>
    </row>
    <row r="79" spans="1:5" x14ac:dyDescent="0.3">
      <c r="A79" t="s">
        <v>712</v>
      </c>
      <c r="B79" s="1" t="str">
        <f t="shared" ca="1" si="4"/>
        <v>2026-06-23</v>
      </c>
      <c r="C79">
        <f t="shared" ca="1" si="5"/>
        <v>1227</v>
      </c>
      <c r="D79">
        <f t="shared" ca="1" si="6"/>
        <v>69</v>
      </c>
      <c r="E79" t="str">
        <f t="shared" ca="1" si="7"/>
        <v>Processing Cell C</v>
      </c>
    </row>
    <row r="80" spans="1:5" x14ac:dyDescent="0.3">
      <c r="A80" t="s">
        <v>713</v>
      </c>
      <c r="B80" s="1" t="str">
        <f t="shared" ca="1" si="4"/>
        <v>2026-06-24</v>
      </c>
      <c r="C80">
        <f t="shared" ca="1" si="5"/>
        <v>1074</v>
      </c>
      <c r="D80">
        <f t="shared" ca="1" si="6"/>
        <v>23</v>
      </c>
      <c r="E80" t="str">
        <f t="shared" ca="1" si="7"/>
        <v>Fabrication Unit B</v>
      </c>
    </row>
    <row r="81" spans="1:5" x14ac:dyDescent="0.3">
      <c r="A81" t="s">
        <v>714</v>
      </c>
      <c r="B81" s="1" t="str">
        <f t="shared" ca="1" si="4"/>
        <v>2026-06-21</v>
      </c>
      <c r="C81">
        <f t="shared" ca="1" si="5"/>
        <v>1197</v>
      </c>
      <c r="D81">
        <f t="shared" ca="1" si="6"/>
        <v>49</v>
      </c>
      <c r="E81" t="str">
        <f t="shared" ca="1" si="7"/>
        <v>Assembly Line A</v>
      </c>
    </row>
    <row r="82" spans="1:5" x14ac:dyDescent="0.3">
      <c r="A82" t="s">
        <v>715</v>
      </c>
      <c r="B82" s="1" t="str">
        <f t="shared" ca="1" si="4"/>
        <v>2026-06-24</v>
      </c>
      <c r="C82">
        <f t="shared" ca="1" si="5"/>
        <v>1118</v>
      </c>
      <c r="D82">
        <f t="shared" ca="1" si="6"/>
        <v>30</v>
      </c>
      <c r="E82" t="str">
        <f t="shared" ca="1" si="7"/>
        <v>Processing Cell C</v>
      </c>
    </row>
    <row r="83" spans="1:5" x14ac:dyDescent="0.3">
      <c r="A83" t="s">
        <v>716</v>
      </c>
      <c r="B83" s="1" t="str">
        <f t="shared" ca="1" si="4"/>
        <v>2026-06-20</v>
      </c>
      <c r="C83">
        <f t="shared" ca="1" si="5"/>
        <v>1055</v>
      </c>
      <c r="D83">
        <f t="shared" ca="1" si="6"/>
        <v>22</v>
      </c>
      <c r="E83" t="str">
        <f t="shared" ca="1" si="7"/>
        <v>Fabrication Unit B</v>
      </c>
    </row>
    <row r="84" spans="1:5" x14ac:dyDescent="0.3">
      <c r="A84" t="s">
        <v>717</v>
      </c>
      <c r="B84" s="1" t="str">
        <f t="shared" ca="1" si="4"/>
        <v>2026-06-20</v>
      </c>
      <c r="C84">
        <f t="shared" ca="1" si="5"/>
        <v>1252</v>
      </c>
      <c r="D84">
        <f t="shared" ca="1" si="6"/>
        <v>42</v>
      </c>
      <c r="E84" t="str">
        <f t="shared" ca="1" si="7"/>
        <v>Processing Cell C</v>
      </c>
    </row>
    <row r="85" spans="1:5" x14ac:dyDescent="0.3">
      <c r="A85" t="s">
        <v>718</v>
      </c>
      <c r="B85" s="1" t="str">
        <f t="shared" ca="1" si="4"/>
        <v>2026-06-20</v>
      </c>
      <c r="C85">
        <f t="shared" ca="1" si="5"/>
        <v>1112</v>
      </c>
      <c r="D85">
        <f t="shared" ca="1" si="6"/>
        <v>28</v>
      </c>
      <c r="E85" t="str">
        <f t="shared" ca="1" si="7"/>
        <v>Fabrication Unit B</v>
      </c>
    </row>
    <row r="86" spans="1:5" x14ac:dyDescent="0.3">
      <c r="A86" t="s">
        <v>719</v>
      </c>
      <c r="B86" s="1" t="str">
        <f t="shared" ca="1" si="4"/>
        <v>2026-06-23</v>
      </c>
      <c r="C86">
        <f t="shared" ca="1" si="5"/>
        <v>1184</v>
      </c>
      <c r="D86">
        <f t="shared" ca="1" si="6"/>
        <v>40</v>
      </c>
      <c r="E86" t="str">
        <f t="shared" ca="1" si="7"/>
        <v>Assembly Line A</v>
      </c>
    </row>
    <row r="87" spans="1:5" x14ac:dyDescent="0.3">
      <c r="A87" t="s">
        <v>720</v>
      </c>
      <c r="B87" s="1" t="str">
        <f t="shared" ca="1" si="4"/>
        <v>2026-06-21</v>
      </c>
      <c r="C87">
        <f t="shared" ca="1" si="5"/>
        <v>1149</v>
      </c>
      <c r="D87">
        <f t="shared" ca="1" si="6"/>
        <v>71</v>
      </c>
      <c r="E87" t="str">
        <f t="shared" ca="1" si="7"/>
        <v>Assembly Line A</v>
      </c>
    </row>
    <row r="88" spans="1:5" x14ac:dyDescent="0.3">
      <c r="A88" t="s">
        <v>721</v>
      </c>
      <c r="B88" s="1" t="str">
        <f t="shared" ca="1" si="4"/>
        <v>2026-06-25</v>
      </c>
      <c r="C88">
        <f t="shared" ca="1" si="5"/>
        <v>1054</v>
      </c>
      <c r="D88">
        <f t="shared" ca="1" si="6"/>
        <v>51</v>
      </c>
      <c r="E88" t="str">
        <f t="shared" ca="1" si="7"/>
        <v>Assembly Line A</v>
      </c>
    </row>
    <row r="89" spans="1:5" x14ac:dyDescent="0.3">
      <c r="A89" t="s">
        <v>722</v>
      </c>
      <c r="B89" s="1" t="str">
        <f t="shared" ca="1" si="4"/>
        <v>2026-06-23</v>
      </c>
      <c r="C89">
        <f t="shared" ca="1" si="5"/>
        <v>1068</v>
      </c>
      <c r="D89">
        <f t="shared" ca="1" si="6"/>
        <v>38</v>
      </c>
      <c r="E89" t="str">
        <f t="shared" ca="1" si="7"/>
        <v>Assembly Line A</v>
      </c>
    </row>
    <row r="90" spans="1:5" x14ac:dyDescent="0.3">
      <c r="A90" t="s">
        <v>723</v>
      </c>
      <c r="B90" s="1" t="str">
        <f t="shared" ca="1" si="4"/>
        <v>2026-06-20</v>
      </c>
      <c r="C90">
        <f t="shared" ca="1" si="5"/>
        <v>1174</v>
      </c>
      <c r="D90">
        <f t="shared" ca="1" si="6"/>
        <v>55</v>
      </c>
      <c r="E90" t="str">
        <f t="shared" ca="1" si="7"/>
        <v>Assembly Line A</v>
      </c>
    </row>
    <row r="91" spans="1:5" x14ac:dyDescent="0.3">
      <c r="A91" t="s">
        <v>724</v>
      </c>
      <c r="B91" s="1" t="str">
        <f t="shared" ca="1" si="4"/>
        <v>2026-06-24</v>
      </c>
      <c r="C91">
        <f t="shared" ca="1" si="5"/>
        <v>1236</v>
      </c>
      <c r="D91">
        <f t="shared" ca="1" si="6"/>
        <v>52</v>
      </c>
      <c r="E91" t="str">
        <f t="shared" ca="1" si="7"/>
        <v>Assembly Line A</v>
      </c>
    </row>
    <row r="92" spans="1:5" x14ac:dyDescent="0.3">
      <c r="A92" t="s">
        <v>725</v>
      </c>
      <c r="B92" s="1" t="str">
        <f t="shared" ca="1" si="4"/>
        <v>2026-06-22</v>
      </c>
      <c r="C92">
        <f t="shared" ca="1" si="5"/>
        <v>1153</v>
      </c>
      <c r="D92">
        <f t="shared" ca="1" si="6"/>
        <v>62</v>
      </c>
      <c r="E92" t="str">
        <f t="shared" ca="1" si="7"/>
        <v>Assembly Line A</v>
      </c>
    </row>
    <row r="93" spans="1:5" x14ac:dyDescent="0.3">
      <c r="A93" t="s">
        <v>726</v>
      </c>
      <c r="B93" s="1" t="str">
        <f t="shared" ca="1" si="4"/>
        <v>2026-06-23</v>
      </c>
      <c r="C93">
        <f t="shared" ca="1" si="5"/>
        <v>1158</v>
      </c>
      <c r="D93">
        <f t="shared" ca="1" si="6"/>
        <v>77</v>
      </c>
      <c r="E93" t="str">
        <f t="shared" ca="1" si="7"/>
        <v>Fabrication Unit B</v>
      </c>
    </row>
    <row r="94" spans="1:5" x14ac:dyDescent="0.3">
      <c r="A94" t="s">
        <v>727</v>
      </c>
      <c r="B94" s="1" t="str">
        <f t="shared" ca="1" si="4"/>
        <v>2026-06-30</v>
      </c>
      <c r="C94">
        <f t="shared" ca="1" si="5"/>
        <v>1232</v>
      </c>
      <c r="D94">
        <f t="shared" ca="1" si="6"/>
        <v>60</v>
      </c>
      <c r="E94" t="str">
        <f t="shared" ca="1" si="7"/>
        <v>Processing Cell C</v>
      </c>
    </row>
    <row r="95" spans="1:5" x14ac:dyDescent="0.3">
      <c r="A95" t="s">
        <v>728</v>
      </c>
      <c r="B95" s="1" t="str">
        <f t="shared" ca="1" si="4"/>
        <v>2026-06-21</v>
      </c>
      <c r="C95">
        <f t="shared" ca="1" si="5"/>
        <v>1215</v>
      </c>
      <c r="D95">
        <f t="shared" ca="1" si="6"/>
        <v>10</v>
      </c>
      <c r="E95" t="str">
        <f t="shared" ca="1" si="7"/>
        <v>Processing Cell C</v>
      </c>
    </row>
    <row r="96" spans="1:5" x14ac:dyDescent="0.3">
      <c r="A96" t="s">
        <v>729</v>
      </c>
      <c r="B96" s="1" t="str">
        <f t="shared" ca="1" si="4"/>
        <v>2026-06-20</v>
      </c>
      <c r="C96">
        <f t="shared" ca="1" si="5"/>
        <v>1255</v>
      </c>
      <c r="D96">
        <f t="shared" ca="1" si="6"/>
        <v>46</v>
      </c>
      <c r="E96" t="str">
        <f t="shared" ca="1" si="7"/>
        <v>Assembly Line A</v>
      </c>
    </row>
    <row r="97" spans="1:5" x14ac:dyDescent="0.3">
      <c r="A97" t="s">
        <v>730</v>
      </c>
      <c r="B97" s="1" t="str">
        <f t="shared" ca="1" si="4"/>
        <v>2026-06-25</v>
      </c>
      <c r="C97">
        <f t="shared" ca="1" si="5"/>
        <v>1222</v>
      </c>
      <c r="D97">
        <f t="shared" ca="1" si="6"/>
        <v>66</v>
      </c>
      <c r="E97" t="str">
        <f t="shared" ca="1" si="7"/>
        <v>Fabrication Unit B</v>
      </c>
    </row>
    <row r="98" spans="1:5" x14ac:dyDescent="0.3">
      <c r="A98" t="s">
        <v>731</v>
      </c>
      <c r="B98" s="1" t="str">
        <f t="shared" ca="1" si="4"/>
        <v>2026-06-20</v>
      </c>
      <c r="C98">
        <f t="shared" ca="1" si="5"/>
        <v>1025</v>
      </c>
      <c r="D98">
        <f t="shared" ca="1" si="6"/>
        <v>20</v>
      </c>
      <c r="E98" t="str">
        <f t="shared" ca="1" si="7"/>
        <v>Fabrication Unit B</v>
      </c>
    </row>
    <row r="99" spans="1:5" x14ac:dyDescent="0.3">
      <c r="A99" t="s">
        <v>732</v>
      </c>
      <c r="B99" s="1" t="str">
        <f t="shared" ca="1" si="4"/>
        <v>2026-06-30</v>
      </c>
      <c r="C99">
        <f t="shared" ca="1" si="5"/>
        <v>1233</v>
      </c>
      <c r="D99">
        <f t="shared" ca="1" si="6"/>
        <v>51</v>
      </c>
      <c r="E99" t="str">
        <f t="shared" ca="1" si="7"/>
        <v>Processing Cell C</v>
      </c>
    </row>
    <row r="100" spans="1:5" x14ac:dyDescent="0.3">
      <c r="A100" t="s">
        <v>733</v>
      </c>
      <c r="B100" s="1" t="str">
        <f t="shared" ca="1" si="4"/>
        <v>2026-06-20</v>
      </c>
      <c r="C100">
        <f t="shared" ca="1" si="5"/>
        <v>1117</v>
      </c>
      <c r="D100">
        <f t="shared" ca="1" si="6"/>
        <v>70</v>
      </c>
      <c r="E100" t="str">
        <f t="shared" ca="1" si="7"/>
        <v>Assembly Line A</v>
      </c>
    </row>
    <row r="101" spans="1:5" x14ac:dyDescent="0.3">
      <c r="A101" t="s">
        <v>734</v>
      </c>
      <c r="B101" s="1" t="str">
        <f t="shared" ca="1" si="4"/>
        <v>2026-06-30</v>
      </c>
      <c r="C101">
        <f t="shared" ca="1" si="5"/>
        <v>1082</v>
      </c>
      <c r="D101">
        <f t="shared" ca="1" si="6"/>
        <v>55</v>
      </c>
      <c r="E101" t="str">
        <f t="shared" ca="1" si="7"/>
        <v>Processing Cell C</v>
      </c>
    </row>
    <row r="102" spans="1:5" x14ac:dyDescent="0.3">
      <c r="A102" t="s">
        <v>735</v>
      </c>
      <c r="B102" s="1" t="str">
        <f t="shared" ca="1" si="4"/>
        <v>2026-06-25</v>
      </c>
      <c r="C102">
        <f t="shared" ca="1" si="5"/>
        <v>1180</v>
      </c>
      <c r="D102">
        <f t="shared" ca="1" si="6"/>
        <v>51</v>
      </c>
      <c r="E102" t="str">
        <f t="shared" ca="1" si="7"/>
        <v>Assembly Line A</v>
      </c>
    </row>
    <row r="103" spans="1:5" x14ac:dyDescent="0.3">
      <c r="A103" t="s">
        <v>736</v>
      </c>
      <c r="B103" s="1" t="str">
        <f t="shared" ca="1" si="4"/>
        <v>2026-06-26</v>
      </c>
      <c r="C103">
        <f t="shared" ca="1" si="5"/>
        <v>1227</v>
      </c>
      <c r="D103">
        <f t="shared" ca="1" si="6"/>
        <v>55</v>
      </c>
      <c r="E103" t="str">
        <f t="shared" ca="1" si="7"/>
        <v>Assembly Line A</v>
      </c>
    </row>
    <row r="104" spans="1:5" x14ac:dyDescent="0.3">
      <c r="A104" t="s">
        <v>737</v>
      </c>
      <c r="B104" s="1" t="str">
        <f t="shared" ca="1" si="4"/>
        <v>2026-06-27</v>
      </c>
      <c r="C104">
        <f t="shared" ca="1" si="5"/>
        <v>1127</v>
      </c>
      <c r="D104">
        <f t="shared" ca="1" si="6"/>
        <v>32</v>
      </c>
      <c r="E104" t="str">
        <f t="shared" ca="1" si="7"/>
        <v>Processing Cell C</v>
      </c>
    </row>
    <row r="105" spans="1:5" x14ac:dyDescent="0.3">
      <c r="A105" t="s">
        <v>738</v>
      </c>
      <c r="B105" s="1" t="str">
        <f t="shared" ca="1" si="4"/>
        <v>2026-06-28</v>
      </c>
      <c r="C105">
        <f t="shared" ca="1" si="5"/>
        <v>1130</v>
      </c>
      <c r="D105">
        <f t="shared" ca="1" si="6"/>
        <v>72</v>
      </c>
      <c r="E105" t="str">
        <f t="shared" ca="1" si="7"/>
        <v>Assembly Line A</v>
      </c>
    </row>
    <row r="106" spans="1:5" x14ac:dyDescent="0.3">
      <c r="A106" t="s">
        <v>739</v>
      </c>
      <c r="B106" s="1" t="str">
        <f t="shared" ca="1" si="4"/>
        <v>2026-06-28</v>
      </c>
      <c r="C106">
        <f t="shared" ca="1" si="5"/>
        <v>1006</v>
      </c>
      <c r="D106">
        <f t="shared" ca="1" si="6"/>
        <v>51</v>
      </c>
      <c r="E106" t="str">
        <f t="shared" ca="1" si="7"/>
        <v>Processing Cell C</v>
      </c>
    </row>
    <row r="107" spans="1:5" x14ac:dyDescent="0.3">
      <c r="A107" t="s">
        <v>740</v>
      </c>
      <c r="B107" s="1" t="str">
        <f t="shared" ca="1" si="4"/>
        <v>2026-06-27</v>
      </c>
      <c r="C107">
        <f t="shared" ca="1" si="5"/>
        <v>1037</v>
      </c>
      <c r="D107">
        <f t="shared" ca="1" si="6"/>
        <v>17</v>
      </c>
      <c r="E107" t="str">
        <f t="shared" ca="1" si="7"/>
        <v>Assembly Line A</v>
      </c>
    </row>
    <row r="108" spans="1:5" x14ac:dyDescent="0.3">
      <c r="A108" t="s">
        <v>741</v>
      </c>
      <c r="B108" s="1" t="str">
        <f t="shared" ca="1" si="4"/>
        <v>2026-06-20</v>
      </c>
      <c r="C108">
        <f t="shared" ca="1" si="5"/>
        <v>1150</v>
      </c>
      <c r="D108">
        <f t="shared" ca="1" si="6"/>
        <v>46</v>
      </c>
      <c r="E108" t="str">
        <f t="shared" ca="1" si="7"/>
        <v>Assembly Line A</v>
      </c>
    </row>
    <row r="109" spans="1:5" x14ac:dyDescent="0.3">
      <c r="A109" t="s">
        <v>742</v>
      </c>
      <c r="B109" s="1" t="str">
        <f t="shared" ca="1" si="4"/>
        <v>2026-06-20</v>
      </c>
      <c r="C109">
        <f t="shared" ca="1" si="5"/>
        <v>1111</v>
      </c>
      <c r="D109">
        <f t="shared" ca="1" si="6"/>
        <v>31</v>
      </c>
      <c r="E109" t="str">
        <f t="shared" ca="1" si="7"/>
        <v>Assembly Line A</v>
      </c>
    </row>
    <row r="110" spans="1:5" x14ac:dyDescent="0.3">
      <c r="A110" t="s">
        <v>743</v>
      </c>
      <c r="B110" s="1" t="str">
        <f t="shared" ca="1" si="4"/>
        <v>2026-06-29</v>
      </c>
      <c r="C110">
        <f t="shared" ca="1" si="5"/>
        <v>1063</v>
      </c>
      <c r="D110">
        <f t="shared" ca="1" si="6"/>
        <v>76</v>
      </c>
      <c r="E110" t="str">
        <f t="shared" ca="1" si="7"/>
        <v>Processing Cell C</v>
      </c>
    </row>
    <row r="111" spans="1:5" x14ac:dyDescent="0.3">
      <c r="A111" t="s">
        <v>744</v>
      </c>
      <c r="B111" s="1" t="str">
        <f t="shared" ca="1" si="4"/>
        <v>2026-06-25</v>
      </c>
      <c r="C111">
        <f t="shared" ca="1" si="5"/>
        <v>1259</v>
      </c>
      <c r="D111">
        <f t="shared" ca="1" si="6"/>
        <v>63</v>
      </c>
      <c r="E111" t="str">
        <f t="shared" ca="1" si="7"/>
        <v>Fabrication Unit B</v>
      </c>
    </row>
    <row r="112" spans="1:5" x14ac:dyDescent="0.3">
      <c r="A112" t="s">
        <v>745</v>
      </c>
      <c r="B112" s="1" t="str">
        <f t="shared" ca="1" si="4"/>
        <v>2026-06-26</v>
      </c>
      <c r="C112">
        <f t="shared" ca="1" si="5"/>
        <v>1066</v>
      </c>
      <c r="D112">
        <f t="shared" ca="1" si="6"/>
        <v>34</v>
      </c>
      <c r="E112" t="str">
        <f t="shared" ca="1" si="7"/>
        <v>Processing Cell C</v>
      </c>
    </row>
    <row r="113" spans="1:5" x14ac:dyDescent="0.3">
      <c r="A113" t="s">
        <v>746</v>
      </c>
      <c r="B113" s="1" t="str">
        <f t="shared" ca="1" si="4"/>
        <v>2026-06-27</v>
      </c>
      <c r="C113">
        <f t="shared" ca="1" si="5"/>
        <v>1167</v>
      </c>
      <c r="D113">
        <f t="shared" ca="1" si="6"/>
        <v>43</v>
      </c>
      <c r="E113" t="str">
        <f t="shared" ca="1" si="7"/>
        <v>Fabrication Unit B</v>
      </c>
    </row>
    <row r="114" spans="1:5" x14ac:dyDescent="0.3">
      <c r="A114" t="s">
        <v>747</v>
      </c>
      <c r="B114" s="1" t="str">
        <f t="shared" ca="1" si="4"/>
        <v>2026-06-28</v>
      </c>
      <c r="C114">
        <f t="shared" ca="1" si="5"/>
        <v>1094</v>
      </c>
      <c r="D114">
        <f t="shared" ca="1" si="6"/>
        <v>70</v>
      </c>
      <c r="E114" t="str">
        <f t="shared" ca="1" si="7"/>
        <v>Fabrication Unit B</v>
      </c>
    </row>
    <row r="115" spans="1:5" x14ac:dyDescent="0.3">
      <c r="A115" t="s">
        <v>748</v>
      </c>
      <c r="B115" s="1" t="str">
        <f t="shared" ca="1" si="4"/>
        <v>2026-06-24</v>
      </c>
      <c r="C115">
        <f t="shared" ca="1" si="5"/>
        <v>1020</v>
      </c>
      <c r="D115">
        <f t="shared" ca="1" si="6"/>
        <v>50</v>
      </c>
      <c r="E115" t="str">
        <f t="shared" ca="1" si="7"/>
        <v>Assembly Line A</v>
      </c>
    </row>
    <row r="116" spans="1:5" x14ac:dyDescent="0.3">
      <c r="A116" t="s">
        <v>749</v>
      </c>
      <c r="B116" s="1" t="str">
        <f t="shared" ca="1" si="4"/>
        <v>2026-06-20</v>
      </c>
      <c r="C116">
        <f t="shared" ca="1" si="5"/>
        <v>1265</v>
      </c>
      <c r="D116">
        <f t="shared" ca="1" si="6"/>
        <v>67</v>
      </c>
      <c r="E116" t="str">
        <f t="shared" ca="1" si="7"/>
        <v>Fabrication Unit B</v>
      </c>
    </row>
    <row r="117" spans="1:5" x14ac:dyDescent="0.3">
      <c r="A117" t="s">
        <v>750</v>
      </c>
      <c r="B117" s="1" t="str">
        <f t="shared" ca="1" si="4"/>
        <v>2026-06-28</v>
      </c>
      <c r="C117">
        <f t="shared" ca="1" si="5"/>
        <v>1184</v>
      </c>
      <c r="D117">
        <f t="shared" ca="1" si="6"/>
        <v>46</v>
      </c>
      <c r="E117" t="str">
        <f t="shared" ca="1" si="7"/>
        <v>Fabrication Unit B</v>
      </c>
    </row>
    <row r="118" spans="1:5" x14ac:dyDescent="0.3">
      <c r="A118" t="s">
        <v>751</v>
      </c>
      <c r="B118" s="1" t="str">
        <f t="shared" ca="1" si="4"/>
        <v>2026-06-24</v>
      </c>
      <c r="C118">
        <f t="shared" ca="1" si="5"/>
        <v>1154</v>
      </c>
      <c r="D118">
        <f t="shared" ca="1" si="6"/>
        <v>43</v>
      </c>
      <c r="E118" t="str">
        <f t="shared" ca="1" si="7"/>
        <v>Assembly Line A</v>
      </c>
    </row>
    <row r="119" spans="1:5" x14ac:dyDescent="0.3">
      <c r="A119" t="s">
        <v>752</v>
      </c>
      <c r="B119" s="1" t="str">
        <f t="shared" ca="1" si="4"/>
        <v>2026-06-28</v>
      </c>
      <c r="C119">
        <f t="shared" ca="1" si="5"/>
        <v>1001</v>
      </c>
      <c r="D119">
        <f t="shared" ca="1" si="6"/>
        <v>34</v>
      </c>
      <c r="E119" t="str">
        <f t="shared" ca="1" si="7"/>
        <v>Processing Cell C</v>
      </c>
    </row>
    <row r="120" spans="1:5" x14ac:dyDescent="0.3">
      <c r="A120" t="s">
        <v>753</v>
      </c>
      <c r="B120" s="1" t="str">
        <f t="shared" ca="1" si="4"/>
        <v>2026-06-27</v>
      </c>
      <c r="C120">
        <f t="shared" ca="1" si="5"/>
        <v>1032</v>
      </c>
      <c r="D120">
        <f t="shared" ca="1" si="6"/>
        <v>44</v>
      </c>
      <c r="E120" t="str">
        <f t="shared" ca="1" si="7"/>
        <v>Fabrication Unit B</v>
      </c>
    </row>
    <row r="121" spans="1:5" x14ac:dyDescent="0.3">
      <c r="A121" t="s">
        <v>754</v>
      </c>
      <c r="B121" s="1" t="str">
        <f t="shared" ca="1" si="4"/>
        <v>2026-06-28</v>
      </c>
      <c r="C121">
        <f t="shared" ca="1" si="5"/>
        <v>1203</v>
      </c>
      <c r="D121">
        <f t="shared" ca="1" si="6"/>
        <v>55</v>
      </c>
      <c r="E121" t="str">
        <f t="shared" ca="1" si="7"/>
        <v>Fabrication Unit B</v>
      </c>
    </row>
    <row r="122" spans="1:5" x14ac:dyDescent="0.3">
      <c r="A122" t="s">
        <v>755</v>
      </c>
      <c r="B122" s="1" t="str">
        <f t="shared" ca="1" si="4"/>
        <v>2026-06-28</v>
      </c>
      <c r="C122">
        <f t="shared" ca="1" si="5"/>
        <v>1209</v>
      </c>
      <c r="D122">
        <f t="shared" ca="1" si="6"/>
        <v>72</v>
      </c>
      <c r="E122" t="str">
        <f t="shared" ca="1" si="7"/>
        <v>Assembly Line A</v>
      </c>
    </row>
    <row r="123" spans="1:5" x14ac:dyDescent="0.3">
      <c r="A123" t="s">
        <v>756</v>
      </c>
      <c r="B123" s="1" t="str">
        <f t="shared" ca="1" si="4"/>
        <v>2026-06-24</v>
      </c>
      <c r="C123">
        <f t="shared" ca="1" si="5"/>
        <v>1241</v>
      </c>
      <c r="D123">
        <f t="shared" ca="1" si="6"/>
        <v>12</v>
      </c>
      <c r="E123" t="str">
        <f t="shared" ca="1" si="7"/>
        <v>Fabrication Unit B</v>
      </c>
    </row>
    <row r="124" spans="1:5" x14ac:dyDescent="0.3">
      <c r="A124" t="s">
        <v>757</v>
      </c>
      <c r="B124" s="1" t="str">
        <f t="shared" ca="1" si="4"/>
        <v>2026-06-21</v>
      </c>
      <c r="C124">
        <f t="shared" ca="1" si="5"/>
        <v>1214</v>
      </c>
      <c r="D124">
        <f t="shared" ca="1" si="6"/>
        <v>19</v>
      </c>
      <c r="E124" t="str">
        <f t="shared" ca="1" si="7"/>
        <v>Assembly Line A</v>
      </c>
    </row>
    <row r="125" spans="1:5" x14ac:dyDescent="0.3">
      <c r="A125" t="s">
        <v>758</v>
      </c>
      <c r="B125" s="1" t="str">
        <f t="shared" ca="1" si="4"/>
        <v>2026-06-21</v>
      </c>
      <c r="C125">
        <f t="shared" ca="1" si="5"/>
        <v>1016</v>
      </c>
      <c r="D125">
        <f t="shared" ca="1" si="6"/>
        <v>59</v>
      </c>
      <c r="E125" t="str">
        <f t="shared" ca="1" si="7"/>
        <v>Processing Cell C</v>
      </c>
    </row>
    <row r="126" spans="1:5" x14ac:dyDescent="0.3">
      <c r="A126" t="s">
        <v>759</v>
      </c>
      <c r="B126" s="1" t="str">
        <f t="shared" ca="1" si="4"/>
        <v>2026-06-29</v>
      </c>
      <c r="C126">
        <f t="shared" ca="1" si="5"/>
        <v>1172</v>
      </c>
      <c r="D126">
        <f t="shared" ca="1" si="6"/>
        <v>27</v>
      </c>
      <c r="E126" t="str">
        <f t="shared" ca="1" si="7"/>
        <v>Processing Cell C</v>
      </c>
    </row>
    <row r="127" spans="1:5" x14ac:dyDescent="0.3">
      <c r="A127" t="s">
        <v>760</v>
      </c>
      <c r="B127" s="1" t="str">
        <f t="shared" ca="1" si="4"/>
        <v>2026-06-22</v>
      </c>
      <c r="C127">
        <f t="shared" ca="1" si="5"/>
        <v>1270</v>
      </c>
      <c r="D127">
        <f t="shared" ca="1" si="6"/>
        <v>61</v>
      </c>
      <c r="E127" t="str">
        <f t="shared" ca="1" si="7"/>
        <v>Assembly Line A</v>
      </c>
    </row>
    <row r="128" spans="1:5" x14ac:dyDescent="0.3">
      <c r="A128" t="s">
        <v>761</v>
      </c>
      <c r="B128" s="1" t="str">
        <f t="shared" ca="1" si="4"/>
        <v>2026-06-29</v>
      </c>
      <c r="C128">
        <f t="shared" ca="1" si="5"/>
        <v>1016</v>
      </c>
      <c r="D128">
        <f t="shared" ca="1" si="6"/>
        <v>79</v>
      </c>
      <c r="E128" t="str">
        <f t="shared" ca="1" si="7"/>
        <v>Processing Cell C</v>
      </c>
    </row>
    <row r="129" spans="1:5" x14ac:dyDescent="0.3">
      <c r="A129" t="s">
        <v>762</v>
      </c>
      <c r="B129" s="1" t="str">
        <f t="shared" ca="1" si="4"/>
        <v>2026-06-26</v>
      </c>
      <c r="C129">
        <f t="shared" ca="1" si="5"/>
        <v>1188</v>
      </c>
      <c r="D129">
        <f t="shared" ca="1" si="6"/>
        <v>14</v>
      </c>
      <c r="E129" t="str">
        <f t="shared" ca="1" si="7"/>
        <v>Processing Cell C</v>
      </c>
    </row>
    <row r="130" spans="1:5" x14ac:dyDescent="0.3">
      <c r="A130" t="s">
        <v>763</v>
      </c>
      <c r="B130" s="1" t="str">
        <f t="shared" ca="1" si="4"/>
        <v>2026-06-23</v>
      </c>
      <c r="C130">
        <f t="shared" ca="1" si="5"/>
        <v>1025</v>
      </c>
      <c r="D130">
        <f t="shared" ca="1" si="6"/>
        <v>38</v>
      </c>
      <c r="E130" t="str">
        <f t="shared" ca="1" si="7"/>
        <v>Fabrication Unit B</v>
      </c>
    </row>
    <row r="131" spans="1:5" x14ac:dyDescent="0.3">
      <c r="A131" t="s">
        <v>764</v>
      </c>
      <c r="B131" s="1" t="str">
        <f t="shared" ref="B131:B150" ca="1" si="8">"2026-06-" &amp; RANDBETWEEN(20,30)</f>
        <v>2026-06-23</v>
      </c>
      <c r="C131">
        <f t="shared" ref="C131:C150" ca="1" si="9">RANDBETWEEN(1001,1275)</f>
        <v>1239</v>
      </c>
      <c r="D131">
        <f t="shared" ref="D131:D150" ca="1" si="10">RANDBETWEEN(10,80)</f>
        <v>17</v>
      </c>
      <c r="E131" t="str">
        <f t="shared" ref="E131:E150" ca="1" si="11">CHOOSE(RANDBETWEEN(1,3), "Assembly Line A", "Fabrication Unit B", "Processing Cell C")</f>
        <v>Fabrication Unit B</v>
      </c>
    </row>
    <row r="132" spans="1:5" x14ac:dyDescent="0.3">
      <c r="A132" t="s">
        <v>765</v>
      </c>
      <c r="B132" s="1" t="str">
        <f t="shared" ca="1" si="8"/>
        <v>2026-06-27</v>
      </c>
      <c r="C132">
        <f t="shared" ca="1" si="9"/>
        <v>1045</v>
      </c>
      <c r="D132">
        <f t="shared" ca="1" si="10"/>
        <v>70</v>
      </c>
      <c r="E132" t="str">
        <f t="shared" ca="1" si="11"/>
        <v>Processing Cell C</v>
      </c>
    </row>
    <row r="133" spans="1:5" x14ac:dyDescent="0.3">
      <c r="A133" t="s">
        <v>766</v>
      </c>
      <c r="B133" s="1" t="str">
        <f t="shared" ca="1" si="8"/>
        <v>2026-06-26</v>
      </c>
      <c r="C133">
        <f t="shared" ca="1" si="9"/>
        <v>1007</v>
      </c>
      <c r="D133">
        <f t="shared" ca="1" si="10"/>
        <v>36</v>
      </c>
      <c r="E133" t="str">
        <f t="shared" ca="1" si="11"/>
        <v>Assembly Line A</v>
      </c>
    </row>
    <row r="134" spans="1:5" x14ac:dyDescent="0.3">
      <c r="A134" t="s">
        <v>767</v>
      </c>
      <c r="B134" s="1" t="str">
        <f t="shared" ca="1" si="8"/>
        <v>2026-06-22</v>
      </c>
      <c r="C134">
        <f t="shared" ca="1" si="9"/>
        <v>1197</v>
      </c>
      <c r="D134">
        <f t="shared" ca="1" si="10"/>
        <v>65</v>
      </c>
      <c r="E134" t="str">
        <f t="shared" ca="1" si="11"/>
        <v>Assembly Line A</v>
      </c>
    </row>
    <row r="135" spans="1:5" x14ac:dyDescent="0.3">
      <c r="A135" t="s">
        <v>768</v>
      </c>
      <c r="B135" s="1" t="str">
        <f t="shared" ca="1" si="8"/>
        <v>2026-06-27</v>
      </c>
      <c r="C135">
        <f t="shared" ca="1" si="9"/>
        <v>1208</v>
      </c>
      <c r="D135">
        <f t="shared" ca="1" si="10"/>
        <v>22</v>
      </c>
      <c r="E135" t="str">
        <f t="shared" ca="1" si="11"/>
        <v>Assembly Line A</v>
      </c>
    </row>
    <row r="136" spans="1:5" x14ac:dyDescent="0.3">
      <c r="A136" t="s">
        <v>769</v>
      </c>
      <c r="B136" s="1" t="str">
        <f t="shared" ca="1" si="8"/>
        <v>2026-06-25</v>
      </c>
      <c r="C136">
        <f t="shared" ca="1" si="9"/>
        <v>1055</v>
      </c>
      <c r="D136">
        <f t="shared" ca="1" si="10"/>
        <v>37</v>
      </c>
      <c r="E136" t="str">
        <f t="shared" ca="1" si="11"/>
        <v>Assembly Line A</v>
      </c>
    </row>
    <row r="137" spans="1:5" x14ac:dyDescent="0.3">
      <c r="A137" t="s">
        <v>770</v>
      </c>
      <c r="B137" s="1" t="str">
        <f t="shared" ca="1" si="8"/>
        <v>2026-06-24</v>
      </c>
      <c r="C137">
        <f t="shared" ca="1" si="9"/>
        <v>1120</v>
      </c>
      <c r="D137">
        <f t="shared" ca="1" si="10"/>
        <v>42</v>
      </c>
      <c r="E137" t="str">
        <f t="shared" ca="1" si="11"/>
        <v>Fabrication Unit B</v>
      </c>
    </row>
    <row r="138" spans="1:5" x14ac:dyDescent="0.3">
      <c r="A138" t="s">
        <v>771</v>
      </c>
      <c r="B138" s="1" t="str">
        <f t="shared" ca="1" si="8"/>
        <v>2026-06-26</v>
      </c>
      <c r="C138">
        <f t="shared" ca="1" si="9"/>
        <v>1155</v>
      </c>
      <c r="D138">
        <f t="shared" ca="1" si="10"/>
        <v>42</v>
      </c>
      <c r="E138" t="str">
        <f t="shared" ca="1" si="11"/>
        <v>Fabrication Unit B</v>
      </c>
    </row>
    <row r="139" spans="1:5" x14ac:dyDescent="0.3">
      <c r="A139" t="s">
        <v>772</v>
      </c>
      <c r="B139" s="1" t="str">
        <f t="shared" ca="1" si="8"/>
        <v>2026-06-28</v>
      </c>
      <c r="C139">
        <f t="shared" ca="1" si="9"/>
        <v>1152</v>
      </c>
      <c r="D139">
        <f t="shared" ca="1" si="10"/>
        <v>22</v>
      </c>
      <c r="E139" t="str">
        <f t="shared" ca="1" si="11"/>
        <v>Processing Cell C</v>
      </c>
    </row>
    <row r="140" spans="1:5" x14ac:dyDescent="0.3">
      <c r="A140" t="s">
        <v>773</v>
      </c>
      <c r="B140" s="1" t="str">
        <f t="shared" ca="1" si="8"/>
        <v>2026-06-27</v>
      </c>
      <c r="C140">
        <f t="shared" ca="1" si="9"/>
        <v>1133</v>
      </c>
      <c r="D140">
        <f t="shared" ca="1" si="10"/>
        <v>21</v>
      </c>
      <c r="E140" t="str">
        <f t="shared" ca="1" si="11"/>
        <v>Fabrication Unit B</v>
      </c>
    </row>
    <row r="141" spans="1:5" x14ac:dyDescent="0.3">
      <c r="A141" t="s">
        <v>774</v>
      </c>
      <c r="B141" s="1" t="str">
        <f t="shared" ca="1" si="8"/>
        <v>2026-06-23</v>
      </c>
      <c r="C141">
        <f t="shared" ca="1" si="9"/>
        <v>1211</v>
      </c>
      <c r="D141">
        <f t="shared" ca="1" si="10"/>
        <v>67</v>
      </c>
      <c r="E141" t="str">
        <f t="shared" ca="1" si="11"/>
        <v>Processing Cell C</v>
      </c>
    </row>
    <row r="142" spans="1:5" x14ac:dyDescent="0.3">
      <c r="A142" t="s">
        <v>775</v>
      </c>
      <c r="B142" s="1" t="str">
        <f t="shared" ca="1" si="8"/>
        <v>2026-06-22</v>
      </c>
      <c r="C142">
        <f t="shared" ca="1" si="9"/>
        <v>1174</v>
      </c>
      <c r="D142">
        <f t="shared" ca="1" si="10"/>
        <v>16</v>
      </c>
      <c r="E142" t="str">
        <f t="shared" ca="1" si="11"/>
        <v>Fabrication Unit B</v>
      </c>
    </row>
    <row r="143" spans="1:5" x14ac:dyDescent="0.3">
      <c r="A143" t="s">
        <v>776</v>
      </c>
      <c r="B143" s="1" t="str">
        <f t="shared" ca="1" si="8"/>
        <v>2026-06-26</v>
      </c>
      <c r="C143">
        <f t="shared" ca="1" si="9"/>
        <v>1245</v>
      </c>
      <c r="D143">
        <f t="shared" ca="1" si="10"/>
        <v>39</v>
      </c>
      <c r="E143" t="str">
        <f t="shared" ca="1" si="11"/>
        <v>Fabrication Unit B</v>
      </c>
    </row>
    <row r="144" spans="1:5" x14ac:dyDescent="0.3">
      <c r="A144" t="s">
        <v>777</v>
      </c>
      <c r="B144" s="1" t="str">
        <f t="shared" ca="1" si="8"/>
        <v>2026-06-25</v>
      </c>
      <c r="C144">
        <f t="shared" ca="1" si="9"/>
        <v>1117</v>
      </c>
      <c r="D144">
        <f t="shared" ca="1" si="10"/>
        <v>29</v>
      </c>
      <c r="E144" t="str">
        <f t="shared" ca="1" si="11"/>
        <v>Assembly Line A</v>
      </c>
    </row>
    <row r="145" spans="1:5" x14ac:dyDescent="0.3">
      <c r="A145" t="s">
        <v>778</v>
      </c>
      <c r="B145" s="1" t="str">
        <f t="shared" ca="1" si="8"/>
        <v>2026-06-29</v>
      </c>
      <c r="C145">
        <f t="shared" ca="1" si="9"/>
        <v>1015</v>
      </c>
      <c r="D145">
        <f t="shared" ca="1" si="10"/>
        <v>43</v>
      </c>
      <c r="E145" t="str">
        <f t="shared" ca="1" si="11"/>
        <v>Fabrication Unit B</v>
      </c>
    </row>
    <row r="146" spans="1:5" x14ac:dyDescent="0.3">
      <c r="A146" t="s">
        <v>779</v>
      </c>
      <c r="B146" s="1" t="str">
        <f t="shared" ca="1" si="8"/>
        <v>2026-06-30</v>
      </c>
      <c r="C146">
        <f t="shared" ca="1" si="9"/>
        <v>1156</v>
      </c>
      <c r="D146">
        <f t="shared" ca="1" si="10"/>
        <v>28</v>
      </c>
      <c r="E146" t="str">
        <f t="shared" ca="1" si="11"/>
        <v>Assembly Line A</v>
      </c>
    </row>
    <row r="147" spans="1:5" x14ac:dyDescent="0.3">
      <c r="A147" t="s">
        <v>780</v>
      </c>
      <c r="B147" s="1" t="str">
        <f t="shared" ca="1" si="8"/>
        <v>2026-06-30</v>
      </c>
      <c r="C147">
        <f t="shared" ca="1" si="9"/>
        <v>1007</v>
      </c>
      <c r="D147">
        <f t="shared" ca="1" si="10"/>
        <v>45</v>
      </c>
      <c r="E147" t="str">
        <f t="shared" ca="1" si="11"/>
        <v>Assembly Line A</v>
      </c>
    </row>
    <row r="148" spans="1:5" x14ac:dyDescent="0.3">
      <c r="A148" t="s">
        <v>781</v>
      </c>
      <c r="B148" s="1" t="str">
        <f t="shared" ca="1" si="8"/>
        <v>2026-06-24</v>
      </c>
      <c r="C148">
        <f t="shared" ca="1" si="9"/>
        <v>1028</v>
      </c>
      <c r="D148">
        <f t="shared" ca="1" si="10"/>
        <v>69</v>
      </c>
      <c r="E148" t="str">
        <f t="shared" ca="1" si="11"/>
        <v>Processing Cell C</v>
      </c>
    </row>
    <row r="149" spans="1:5" x14ac:dyDescent="0.3">
      <c r="A149" t="s">
        <v>782</v>
      </c>
      <c r="B149" s="1" t="str">
        <f t="shared" ca="1" si="8"/>
        <v>2026-06-28</v>
      </c>
      <c r="C149">
        <f t="shared" ca="1" si="9"/>
        <v>1094</v>
      </c>
      <c r="D149">
        <f t="shared" ca="1" si="10"/>
        <v>57</v>
      </c>
      <c r="E149" t="str">
        <f t="shared" ca="1" si="11"/>
        <v>Assembly Line A</v>
      </c>
    </row>
    <row r="150" spans="1:5" x14ac:dyDescent="0.3">
      <c r="A150" t="s">
        <v>783</v>
      </c>
      <c r="B150" s="1" t="str">
        <f t="shared" ca="1" si="8"/>
        <v>2026-06-25</v>
      </c>
      <c r="C150">
        <f t="shared" ca="1" si="9"/>
        <v>1122</v>
      </c>
      <c r="D150">
        <f t="shared" ca="1" si="10"/>
        <v>60</v>
      </c>
      <c r="E150" t="str">
        <f t="shared" ca="1" si="11"/>
        <v>Fabrication Unit B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Parts </vt:lpstr>
      <vt:lpstr>Vendors </vt:lpstr>
      <vt:lpstr>Transporters </vt:lpstr>
      <vt:lpstr>Purchase Orders </vt:lpstr>
      <vt:lpstr>Good Recepients</vt:lpstr>
      <vt:lpstr>Material Issuses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Mohammedamaan Shaikh</dc:creator>
  <cp:keywords/>
  <dc:description/>
  <cp:lastModifiedBy>Mohammedamaan Shaikh</cp:lastModifiedBy>
  <cp:revision/>
  <dcterms:created xsi:type="dcterms:W3CDTF">2026-06-17T06:20:21Z</dcterms:created>
  <dcterms:modified xsi:type="dcterms:W3CDTF">2026-06-19T12:38:46Z</dcterms:modified>
  <cp:category/>
  <cp:contentStatus/>
</cp:coreProperties>
</file>